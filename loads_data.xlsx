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enam/Desktop/"/>
    </mc:Choice>
  </mc:AlternateContent>
  <xr:revisionPtr revIDLastSave="0" documentId="8_{BCBDEAE2-9A1E-4948-AD38-F289B17544A4}" xr6:coauthVersionLast="47" xr6:coauthVersionMax="47" xr10:uidLastSave="{00000000-0000-0000-0000-000000000000}"/>
  <bookViews>
    <workbookView xWindow="68320" yWindow="2640" windowWidth="25880" windowHeight="21320" xr2:uid="{F38AA8D9-6340-ED42-A407-0E91241D807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" i="1" l="1" a="1"/>
  <c r="C17" i="1" s="1"/>
  <c r="C18" i="1" a="1"/>
  <c r="C18" i="1" s="1"/>
  <c r="C19" i="1" a="1"/>
  <c r="C19" i="1" s="1"/>
  <c r="C20" i="1" a="1"/>
  <c r="C20" i="1" s="1"/>
  <c r="C21" i="1" a="1"/>
  <c r="C21" i="1" s="1"/>
  <c r="C22" i="1" a="1"/>
  <c r="C22" i="1" s="1"/>
  <c r="C23" i="1" a="1"/>
  <c r="C23" i="1" s="1"/>
  <c r="C24" i="1" a="1"/>
  <c r="C24" i="1" s="1"/>
  <c r="C25" i="1" a="1"/>
  <c r="C25" i="1"/>
  <c r="C26" i="1" a="1"/>
  <c r="C26" i="1" s="1"/>
  <c r="C27" i="1" a="1"/>
  <c r="C27" i="1" s="1"/>
  <c r="C28" i="1" a="1"/>
  <c r="C28" i="1" s="1"/>
  <c r="C29" i="1" a="1"/>
  <c r="C29" i="1" s="1"/>
  <c r="C30" i="1" a="1"/>
  <c r="C30" i="1"/>
  <c r="C31" i="1" a="1"/>
  <c r="C31" i="1" s="1"/>
  <c r="C32" i="1" a="1"/>
  <c r="C32" i="1" s="1"/>
  <c r="C33" i="1" a="1"/>
  <c r="C33" i="1" s="1"/>
  <c r="C34" i="1" a="1"/>
  <c r="C34" i="1" s="1"/>
  <c r="C35" i="1" a="1"/>
  <c r="C35" i="1"/>
  <c r="C36" i="1" a="1"/>
  <c r="C36" i="1" s="1"/>
  <c r="C37" i="1" a="1"/>
  <c r="C37" i="1" s="1"/>
  <c r="C38" i="1" a="1"/>
  <c r="C38" i="1" s="1"/>
  <c r="C39" i="1" a="1"/>
  <c r="C39" i="1" s="1"/>
  <c r="C40" i="1" a="1"/>
  <c r="C40" i="1" s="1"/>
  <c r="C41" i="1" a="1"/>
  <c r="C41" i="1" s="1"/>
  <c r="C42" i="1" a="1"/>
  <c r="C42" i="1" s="1"/>
  <c r="C43" i="1" a="1"/>
  <c r="C43" i="1" s="1"/>
  <c r="C44" i="1" a="1"/>
  <c r="C44" i="1" s="1"/>
  <c r="C45" i="1" a="1"/>
  <c r="C45" i="1" s="1"/>
  <c r="C46" i="1" a="1"/>
  <c r="C46" i="1" s="1"/>
  <c r="C47" i="1" a="1"/>
  <c r="C47" i="1" s="1"/>
  <c r="C48" i="1" a="1"/>
  <c r="C48" i="1" s="1"/>
  <c r="C49" i="1" a="1"/>
  <c r="C49" i="1" s="1"/>
  <c r="C50" i="1" a="1"/>
  <c r="C50" i="1" s="1"/>
  <c r="C51" i="1" a="1"/>
  <c r="C51" i="1" s="1"/>
  <c r="C52" i="1" a="1"/>
  <c r="C52" i="1" s="1"/>
  <c r="C53" i="1" a="1"/>
  <c r="C53" i="1" s="1"/>
  <c r="C54" i="1" a="1"/>
  <c r="C54" i="1" s="1"/>
  <c r="C55" i="1" a="1"/>
  <c r="C55" i="1" s="1"/>
  <c r="C56" i="1" a="1"/>
  <c r="C56" i="1" s="1"/>
  <c r="C57" i="1" a="1"/>
  <c r="C57" i="1" s="1"/>
  <c r="C58" i="1" a="1"/>
  <c r="C58" i="1" s="1"/>
  <c r="C59" i="1" a="1"/>
  <c r="C59" i="1" s="1"/>
  <c r="C60" i="1" a="1"/>
  <c r="C60" i="1" s="1"/>
  <c r="C61" i="1" a="1"/>
  <c r="C61" i="1" s="1"/>
  <c r="C62" i="1" a="1"/>
  <c r="C62" i="1" s="1"/>
  <c r="C63" i="1" a="1"/>
  <c r="C63" i="1" s="1"/>
  <c r="C64" i="1" a="1"/>
  <c r="C64" i="1" s="1"/>
  <c r="C65" i="1" a="1"/>
  <c r="C65" i="1" s="1"/>
  <c r="C66" i="1" a="1"/>
  <c r="C66" i="1" s="1"/>
  <c r="C67" i="1" a="1"/>
  <c r="C67" i="1" s="1"/>
  <c r="C68" i="1" a="1"/>
  <c r="C68" i="1" s="1"/>
  <c r="C69" i="1" a="1"/>
  <c r="C69" i="1" s="1"/>
  <c r="C70" i="1" a="1"/>
  <c r="C70" i="1" s="1"/>
  <c r="C71" i="1" a="1"/>
  <c r="C71" i="1" s="1"/>
  <c r="C72" i="1" a="1"/>
  <c r="C72" i="1" s="1"/>
  <c r="C73" i="1" a="1"/>
  <c r="C73" i="1" s="1"/>
  <c r="C74" i="1" a="1"/>
  <c r="C74" i="1" s="1"/>
  <c r="C75" i="1" a="1"/>
  <c r="C75" i="1" s="1"/>
  <c r="C16" i="1" a="1"/>
  <c r="C16" i="1" s="1"/>
  <c r="C3" i="1" a="1"/>
  <c r="C3" i="1" s="1"/>
  <c r="C4" i="1" a="1"/>
  <c r="C4" i="1"/>
  <c r="C5" i="1" a="1"/>
  <c r="C5" i="1"/>
  <c r="C6" i="1" a="1"/>
  <c r="C6" i="1"/>
  <c r="C7" i="1" a="1"/>
  <c r="C7" i="1" s="1"/>
  <c r="C8" i="1" a="1"/>
  <c r="C8" i="1" s="1"/>
  <c r="C9" i="1" a="1"/>
  <c r="C9" i="1"/>
  <c r="C10" i="1" a="1"/>
  <c r="C10" i="1"/>
  <c r="C11" i="1" a="1"/>
  <c r="C11" i="1" s="1"/>
  <c r="C12" i="1" a="1"/>
  <c r="C12" i="1"/>
  <c r="C13" i="1" a="1"/>
  <c r="C13" i="1" s="1"/>
  <c r="C14" i="1" a="1"/>
  <c r="C14" i="1" s="1"/>
  <c r="C15" i="1" a="1"/>
  <c r="C15" i="1"/>
  <c r="C2" i="1" a="1"/>
  <c r="C2" i="1" s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<sst xmlns="http://schemas.openxmlformats.org/spreadsheetml/2006/main" count="281" uniqueCount="206">
  <si>
    <t>Unit number</t>
  </si>
  <si>
    <t>Owner name</t>
  </si>
  <si>
    <t>Period</t>
  </si>
  <si>
    <t>pick up</t>
  </si>
  <si>
    <t>delivery</t>
  </si>
  <si>
    <t>driver 1 name</t>
  </si>
  <si>
    <t>Driver2 name</t>
  </si>
  <si>
    <t>miles</t>
  </si>
  <si>
    <t>gross</t>
  </si>
  <si>
    <t>fuel</t>
  </si>
  <si>
    <t>12.01.2025-12.07.2025</t>
  </si>
  <si>
    <t>Load #</t>
  </si>
  <si>
    <t>Lysander New Community, NY, 13027</t>
  </si>
  <si>
    <t>Jacksonville, FL, 32218</t>
  </si>
  <si>
    <t>Riverside, CA, 92508</t>
  </si>
  <si>
    <t>Sioux Falls, SD, 57107</t>
  </si>
  <si>
    <t>Essex, MD, 21221</t>
  </si>
  <si>
    <t>Cicero, IL, 60155</t>
  </si>
  <si>
    <t>La Porte, TX, 77571</t>
  </si>
  <si>
    <t>Naugatuck, CT, 06770</t>
  </si>
  <si>
    <t>North Bellport, NY, 11713</t>
  </si>
  <si>
    <t>Orlando, FL, 32824</t>
  </si>
  <si>
    <t>Blasdell, NY, 14219</t>
  </si>
  <si>
    <t>Allentown, PA, 18103</t>
  </si>
  <si>
    <t>Pompano Beach, FL, 33076</t>
  </si>
  <si>
    <t>EFJ105052</t>
  </si>
  <si>
    <t>Williamston, NC, 27892</t>
  </si>
  <si>
    <t>Auburn, WA, 98001</t>
  </si>
  <si>
    <t>Holbrook, MA, 02343</t>
  </si>
  <si>
    <t>Pleasant Prairie, WI, 53158</t>
  </si>
  <si>
    <t>Plainfield, IN, 46168</t>
  </si>
  <si>
    <t>Courtland, VA, 23837</t>
  </si>
  <si>
    <t>Chicopee, MA, 01013</t>
  </si>
  <si>
    <t>Byhalia, MS, 38611</t>
  </si>
  <si>
    <t>Prattville, AL, 36067</t>
  </si>
  <si>
    <t>356311-0</t>
  </si>
  <si>
    <t>Ware, MA, 01082</t>
  </si>
  <si>
    <t>Taylor, MI, 48180</t>
  </si>
  <si>
    <t>Commerce City, CO, 80022</t>
  </si>
  <si>
    <t>Riverdale, UT, 84405</t>
  </si>
  <si>
    <t>6NB1211</t>
  </si>
  <si>
    <t>Sanford, FL, 32771</t>
  </si>
  <si>
    <t>Pittsville, WI, 54466</t>
  </si>
  <si>
    <t>Olive Branch, MS, 38654</t>
  </si>
  <si>
    <t>Cypress, TX, 77433</t>
  </si>
  <si>
    <t>Camp Hill, PA, 17011</t>
  </si>
  <si>
    <t>Aurora, CO, 80019</t>
  </si>
  <si>
    <t>Pooler, GA, 31322</t>
  </si>
  <si>
    <t>McCalla, AL, 35111</t>
  </si>
  <si>
    <t>Clinton, SC, 29325</t>
  </si>
  <si>
    <t>, NY, 12831</t>
  </si>
  <si>
    <t>Quincy, FL, 32351</t>
  </si>
  <si>
    <t>Chicopee, MA, 01022</t>
  </si>
  <si>
    <t>Albany, GA, 31705</t>
  </si>
  <si>
    <t>Dartmouth, MA, 02747</t>
  </si>
  <si>
    <t>Moses Lake, WA, 98837</t>
  </si>
  <si>
    <t>Corcoran, CA, 93212</t>
  </si>
  <si>
    <t>Columbus, MS, 39701</t>
  </si>
  <si>
    <t>PORT WENTWRTH, GA, 31407</t>
  </si>
  <si>
    <t>Lake Forest, IL, 60045</t>
  </si>
  <si>
    <t>Wilmington, NC, 28405</t>
  </si>
  <si>
    <t>Mebane, NC, 27302</t>
  </si>
  <si>
    <t>Abilene, TX, 79602</t>
  </si>
  <si>
    <t>Town of Conklin, NY, 13748</t>
  </si>
  <si>
    <t>Jacksonville, FL, 32221</t>
  </si>
  <si>
    <t>Jal, NM, 88252</t>
  </si>
  <si>
    <t>Syosset, NY, 11791</t>
  </si>
  <si>
    <t>Boca Raton, FL, 33487</t>
  </si>
  <si>
    <t>Quincy, WA, 98848</t>
  </si>
  <si>
    <t>Clewiston, FL, 33493</t>
  </si>
  <si>
    <t>Daytona Beach, FL, 32114</t>
  </si>
  <si>
    <t>Manassas, VA, 20109</t>
  </si>
  <si>
    <t>Tamaqua, PA, 18252</t>
  </si>
  <si>
    <t>Dundalk, MD, 21222</t>
  </si>
  <si>
    <t>Wetumpka, AL, 36092</t>
  </si>
  <si>
    <t>Memphis, TN, 38118</t>
  </si>
  <si>
    <t>City of Berlin, WI, 54923</t>
  </si>
  <si>
    <t>Winter Haven, FL, 33880</t>
  </si>
  <si>
    <t>Grantsville, UT, 84029</t>
  </si>
  <si>
    <t>Moxee, WA, 98936</t>
  </si>
  <si>
    <t>City of Amsterdam, NY, 12010</t>
  </si>
  <si>
    <t>New Bedford, MA, 02744</t>
  </si>
  <si>
    <t>S CHESTERFLD, VA, 23834</t>
  </si>
  <si>
    <t>Lathrop, CA, 95330</t>
  </si>
  <si>
    <t>53702-26</t>
  </si>
  <si>
    <t>City of Schenectady, NY, 12305</t>
  </si>
  <si>
    <t>Princeton, WV, 24740</t>
  </si>
  <si>
    <t>Gleed, WA, 98908</t>
  </si>
  <si>
    <t>Washington Township, PA, 17268</t>
  </si>
  <si>
    <t>Palm River-Clair Mel, FL, 33619</t>
  </si>
  <si>
    <t>Woodbridge Township, NJ, 07001</t>
  </si>
  <si>
    <t>Austin, TX, 78754</t>
  </si>
  <si>
    <t>Jersey City, NJ, 07097</t>
  </si>
  <si>
    <t>, MS, 38879</t>
  </si>
  <si>
    <t>Dallas, TX, 75232</t>
  </si>
  <si>
    <t>Dorchester, WI, 54425</t>
  </si>
  <si>
    <t>Denver, CO, 80216</t>
  </si>
  <si>
    <t>356475-0</t>
  </si>
  <si>
    <t>Columbia, TN, 38401</t>
  </si>
  <si>
    <t>Albuquerque, NM, 87107</t>
  </si>
  <si>
    <t>Agawam, MA, 01001</t>
  </si>
  <si>
    <t>New Springfield, OH, 44443</t>
  </si>
  <si>
    <t>Holyoke, MA, 01040</t>
  </si>
  <si>
    <t>Munroe Falls, OH, 44262</t>
  </si>
  <si>
    <t>152946-KL</t>
  </si>
  <si>
    <t>Statesboro, GA,</t>
  </si>
  <si>
    <t>Orlando, FL,</t>
  </si>
  <si>
    <t>Pocomoke City, MD, 21851</t>
  </si>
  <si>
    <t>Farmington, CT, 06032</t>
  </si>
  <si>
    <t>Hazle Township, PA, 18202</t>
  </si>
  <si>
    <t>Providence, RI, 02908</t>
  </si>
  <si>
    <t>Fall River, MA, 02720</t>
  </si>
  <si>
    <t>South Fulton, GA, 30349</t>
  </si>
  <si>
    <t>356325-0</t>
  </si>
  <si>
    <t>West Unity, OH, 43570</t>
  </si>
  <si>
    <t>Leominster, MA, 01453</t>
  </si>
  <si>
    <t>356479-0</t>
  </si>
  <si>
    <t>Hanover, MD, 21076</t>
  </si>
  <si>
    <t>Quarryville, PA, 17566</t>
  </si>
  <si>
    <t>Springfield, MO, 65802</t>
  </si>
  <si>
    <t>Golden, CO, 80403</t>
  </si>
  <si>
    <t>Nashua, NH, 03063</t>
  </si>
  <si>
    <t>Hawkins, TX, 75765</t>
  </si>
  <si>
    <t>New Albany, MS, 38652</t>
  </si>
  <si>
    <t>West Caldwell, NJ, 07006</t>
  </si>
  <si>
    <t>Missoula, MT, 59808</t>
  </si>
  <si>
    <t>Imperial, PA, 15126</t>
  </si>
  <si>
    <t>Miami, FL, 33178</t>
  </si>
  <si>
    <t>Fall River, MA, 02721</t>
  </si>
  <si>
    <t>Idaho Falls, ID, 83402</t>
  </si>
  <si>
    <t>Albuquerque, NM, 87105</t>
  </si>
  <si>
    <t>Monrovia, MD, 21770</t>
  </si>
  <si>
    <t>Springfield, OH, 45502</t>
  </si>
  <si>
    <t>Royal Palm Beach, FL, 33411</t>
  </si>
  <si>
    <t>356304-0</t>
  </si>
  <si>
    <t>Atlanta, GA, 30336</t>
  </si>
  <si>
    <t>El Paso, TX, 79907</t>
  </si>
  <si>
    <t>Atglen, PA, 19310</t>
  </si>
  <si>
    <t>Wagram, NC, 28396</t>
  </si>
  <si>
    <t>Denver, CO, 80239</t>
  </si>
  <si>
    <t>Charlotte, NC, 28269</t>
  </si>
  <si>
    <t>Kent, WA, 98032</t>
  </si>
  <si>
    <t>Oakland, CA, 94607</t>
  </si>
  <si>
    <t>Yankton, SD, 57078</t>
  </si>
  <si>
    <t>Lyons, GA, 30436</t>
  </si>
  <si>
    <t>Town of Lancaster, NY, 14086</t>
  </si>
  <si>
    <t>Jupiter, FL, 33478</t>
  </si>
  <si>
    <t>Ocala, FL, 34482</t>
  </si>
  <si>
    <t>Mitchell, SD, 57301</t>
  </si>
  <si>
    <t>Dover, DE, 19904</t>
  </si>
  <si>
    <t>San Diego, CA, 92130</t>
  </si>
  <si>
    <t>Kansas City, MO, 64127</t>
  </si>
  <si>
    <t>Philadelphia, PA, 19116</t>
  </si>
  <si>
    <t>Gastonia, NC, 28054</t>
  </si>
  <si>
    <t>Plant City, FL, 33566</t>
  </si>
  <si>
    <t>Flatonia, TX, 78941</t>
  </si>
  <si>
    <t>LAWRENCE DANIEL MARTIN</t>
  </si>
  <si>
    <t>VICTOR DEMCHENKO</t>
  </si>
  <si>
    <t>EMMANUEL MULLER</t>
  </si>
  <si>
    <t>KIMBERLY MONIQUE SOWELL</t>
  </si>
  <si>
    <t>BEN BELLAH BELISCAR</t>
  </si>
  <si>
    <t>LOUIS JUSTE EMMANUEL</t>
  </si>
  <si>
    <t>CHRISTOPHER ELIOTT NUNEZ</t>
  </si>
  <si>
    <t>BELLANE STENDER</t>
  </si>
  <si>
    <t>WOODBENS JOSIL</t>
  </si>
  <si>
    <t>MARVIN CREARY</t>
  </si>
  <si>
    <t>WILLIAMSON MONCHERY</t>
  </si>
  <si>
    <t>FERHAT BAL</t>
  </si>
  <si>
    <t>MICHEL PATRICK</t>
  </si>
  <si>
    <t>YVENSO BOSQUET</t>
  </si>
  <si>
    <t>JEAN SONNY</t>
  </si>
  <si>
    <t>KEMAL ISA DAGBOLEN</t>
  </si>
  <si>
    <t>CLAUDY VALMOND</t>
  </si>
  <si>
    <t>TOUSSAINT BESANTO</t>
  </si>
  <si>
    <t>ROUDELINE ZEPHIRIN</t>
  </si>
  <si>
    <t>DAGBOLEN ISA</t>
  </si>
  <si>
    <t>KESNY METELUS</t>
  </si>
  <si>
    <t>JOSEPH JOSEPH HYVENS</t>
  </si>
  <si>
    <t>BENCHIKA DOLL</t>
  </si>
  <si>
    <t>ANTOINE EMMANUEL</t>
  </si>
  <si>
    <t>FENEL EDME</t>
  </si>
  <si>
    <t>JAVEN PETERSON</t>
  </si>
  <si>
    <t>GLADIMY JULME</t>
  </si>
  <si>
    <t>WILHEM FORTUNE</t>
  </si>
  <si>
    <t>WILLIE HAMPTON ANDERSON</t>
  </si>
  <si>
    <t>Arba Express LLC</t>
  </si>
  <si>
    <t>Ada Fleet LLC</t>
  </si>
  <si>
    <t>Komo Logistics LLC</t>
  </si>
  <si>
    <t>Fwziyes Place LLC</t>
  </si>
  <si>
    <t>Nationwide LLC</t>
  </si>
  <si>
    <t>US Ela Logistic LLC</t>
  </si>
  <si>
    <t>Neta Global Logistic LLC</t>
  </si>
  <si>
    <t>Skyhill LLC</t>
  </si>
  <si>
    <t>Rivershore</t>
  </si>
  <si>
    <t>Apex Turk Transport LLC</t>
  </si>
  <si>
    <t>EDT Logistics LLC</t>
  </si>
  <si>
    <t>Beycan LLC</t>
  </si>
  <si>
    <t>Perlivion LLC</t>
  </si>
  <si>
    <t>Velox Limo LLC</t>
  </si>
  <si>
    <t>Careway Logistic LLC</t>
  </si>
  <si>
    <t>Activ Logistics LLC</t>
  </si>
  <si>
    <t>Cey &amp;Cey LLC</t>
  </si>
  <si>
    <t>Boss Trucking Equipment LLC</t>
  </si>
  <si>
    <t>NZD Transport LLC</t>
  </si>
  <si>
    <t>Careway Logistics LLC</t>
  </si>
  <si>
    <t>Besa Transport LLC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</si>
</sst>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Arial"/>
      <family val="2"/>
    </font>
    <font>
      <sz val="12"/>
      <color theme="1"/>
      <name val="Aptos Narrow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8" fontId="3" fillId="0" borderId="0" xfId="0" applyNumberFormat="1" applyFon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alcChain" Target="calcChain.xml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13</v>
    <v>3</v>
  </rv>
</rvData>
</file>

<file path=xl/richData/rdrichvaluestructure.xml><?xml version="1.0" encoding="utf-8"?>
<rvStructures xmlns="http://schemas.microsoft.com/office/spreadsheetml/2017/richdata" count="1">
  <s t="_error">
    <k n="errorType" t="i"/>
    <k n="subType" t="i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B7B6C-9EB6-EB4A-A897-36FD3B149090}">
  <dimension ref="A1:Q75"/>
  <sheetViews>
    <sheetView tabSelected="1" zoomScale="156" zoomScaleNormal="156" workbookViewId="0">
      <selection activeCell="E77" sqref="E77"/>
    </sheetView>
  </sheetViews>
  <sheetFormatPr baseColWidth="10" defaultRowHeight="16" x14ac:dyDescent="0.2"/>
  <cols>
    <col min="1" max="1" width="17.1640625" bestFit="1" customWidth="1"/>
    <col min="2" max="2" width="11.1640625" bestFit="1" customWidth="1"/>
    <col min="3" max="3" width="11.5" bestFit="1" customWidth="1"/>
    <col min="4" max="5" width="12.1640625" bestFit="1" customWidth="1"/>
    <col min="6" max="6" width="12.1640625" customWidth="1"/>
    <col min="15" max="15" width="20.83203125" bestFit="1" customWidth="1"/>
    <col min="16" max="16" width="29.5" bestFit="1" customWidth="1"/>
  </cols>
  <sheetData>
    <row r="1" spans="1:17" s="1" customFormat="1" x14ac:dyDescent="0.2">
      <c r="A1" s="1" t="s">
        <v>2</v>
      </c>
      <c r="B1" s="1" t="s">
        <v>0</v>
      </c>
      <c r="C1" s="1" t="s">
        <v>1</v>
      </c>
      <c r="D1" s="1" t="s">
        <v>5</v>
      </c>
      <c r="E1" s="1" t="s">
        <v>6</v>
      </c>
      <c r="F1" s="1" t="s">
        <v>11</v>
      </c>
      <c r="G1" s="1" t="s">
        <v>3</v>
      </c>
      <c r="H1" s="1" t="s">
        <v>4</v>
      </c>
      <c r="I1" s="1" t="s">
        <v>8</v>
      </c>
      <c r="J1" s="1" t="s">
        <v>7</v>
      </c>
      <c r="K1" s="1" t="s">
        <v>9</v>
      </c>
    </row>
    <row r="2" spans="1:17" x14ac:dyDescent="0.2">
      <c r="A2" s="2" t="s">
        <v>10</v>
      </c>
      <c r="B2" s="3">
        <v>6813</v>
      </c>
      <c r="C2" t="str" cm="1">
        <f t="array" ref="C2">_xlfn._xlws.FILTER($P$2:$P$38,$O$2:$O$38=B2)</f>
        <v>Cey &amp;Cey LLC</v>
      </c>
      <c r="D2" s="3" t="s">
        <v>156</v>
      </c>
      <c r="F2" s="3">
        <v>536090795</v>
      </c>
      <c r="G2" s="3" t="s">
        <v>12</v>
      </c>
      <c r="H2" s="3" t="s">
        <v>13</v>
      </c>
      <c r="I2" s="4">
        <v>2500</v>
      </c>
      <c r="J2" s="3">
        <v>1107</v>
      </c>
      <c r="K2">
        <f>SUMIF($M$2:$M$30,B2,$N$2:$N$30)</f>
        <v>1077.1099999999999</v>
      </c>
      <c r="M2" s="7">
        <v>427</v>
      </c>
      <c r="N2" s="4">
        <v>1698.09</v>
      </c>
      <c r="O2" s="5">
        <v>2319</v>
      </c>
      <c r="P2" s="6" t="s">
        <v>185</v>
      </c>
      <c r="Q2" s="5"/>
    </row>
    <row r="3" spans="1:17" x14ac:dyDescent="0.2">
      <c r="B3" s="3">
        <v>427</v>
      </c>
      <c r="C3" t="str" cm="1">
        <f t="array" ref="C3">_xlfn._xlws.FILTER($P$2:$P$38,$O$2:$O$38=B3)</f>
        <v>Ada Fleet LLC</v>
      </c>
      <c r="D3" s="3" t="s">
        <v>157</v>
      </c>
      <c r="F3" s="3">
        <v>8949329</v>
      </c>
      <c r="G3" s="3" t="s">
        <v>14</v>
      </c>
      <c r="H3" s="3" t="s">
        <v>15</v>
      </c>
      <c r="I3" s="4">
        <v>3900</v>
      </c>
      <c r="J3" s="3">
        <v>1695</v>
      </c>
      <c r="K3">
        <f t="shared" ref="K3:K66" si="0">SUMIF($M$2:$M$30,B3,$N$2:$N$30)</f>
        <v>1698.09</v>
      </c>
      <c r="M3" s="7">
        <v>514</v>
      </c>
      <c r="N3" s="4">
        <v>208.88</v>
      </c>
      <c r="O3" s="5">
        <v>9308</v>
      </c>
      <c r="P3" s="6" t="s">
        <v>185</v>
      </c>
      <c r="Q3" s="5"/>
    </row>
    <row r="4" spans="1:17" x14ac:dyDescent="0.2">
      <c r="B4" s="3">
        <v>9617</v>
      </c>
      <c r="C4" t="str" cm="1">
        <f t="array" ref="C4">_xlfn._xlws.FILTER($P$2:$P$38,$O$2:$O$38=B4)</f>
        <v>Nationwide LLC</v>
      </c>
      <c r="D4" s="3" t="s">
        <v>158</v>
      </c>
      <c r="F4" s="3">
        <v>536051627</v>
      </c>
      <c r="G4" s="3" t="s">
        <v>16</v>
      </c>
      <c r="H4" s="3" t="s">
        <v>17</v>
      </c>
      <c r="I4" s="4">
        <v>1200</v>
      </c>
      <c r="J4" s="3">
        <v>792</v>
      </c>
      <c r="K4">
        <f t="shared" si="0"/>
        <v>1600.39</v>
      </c>
      <c r="M4" s="7">
        <v>515</v>
      </c>
      <c r="N4" s="4">
        <v>920.24</v>
      </c>
      <c r="O4" s="5">
        <v>6960</v>
      </c>
      <c r="P4" s="6" t="s">
        <v>185</v>
      </c>
      <c r="Q4" s="5"/>
    </row>
    <row r="5" spans="1:17" x14ac:dyDescent="0.2">
      <c r="B5" s="3">
        <v>6338</v>
      </c>
      <c r="C5" t="str" cm="1">
        <f t="array" ref="C5">_xlfn._xlws.FILTER($P$2:$P$38,$O$2:$O$38=B5)</f>
        <v>Boss Trucking Equipment LLC</v>
      </c>
      <c r="D5" s="3" t="s">
        <v>159</v>
      </c>
      <c r="F5" s="3">
        <v>65179348</v>
      </c>
      <c r="G5" s="3" t="s">
        <v>18</v>
      </c>
      <c r="H5" s="3" t="s">
        <v>19</v>
      </c>
      <c r="I5" s="4">
        <v>3300</v>
      </c>
      <c r="J5" s="3">
        <v>1742</v>
      </c>
      <c r="K5">
        <f t="shared" si="0"/>
        <v>3346.01</v>
      </c>
      <c r="M5" s="7">
        <v>659</v>
      </c>
      <c r="N5" s="4">
        <v>2197.83</v>
      </c>
      <c r="O5" s="5">
        <v>5653</v>
      </c>
      <c r="P5" s="6" t="s">
        <v>185</v>
      </c>
      <c r="Q5" s="5"/>
    </row>
    <row r="6" spans="1:17" x14ac:dyDescent="0.2">
      <c r="B6" s="3">
        <v>2932</v>
      </c>
      <c r="C6" t="str" cm="1">
        <f t="array" ref="C6">_xlfn._xlws.FILTER($P$2:$P$38,$O$2:$O$38=B6)</f>
        <v>EDT Logistics LLC</v>
      </c>
      <c r="D6" s="3" t="s">
        <v>160</v>
      </c>
      <c r="F6" s="3">
        <v>20740576</v>
      </c>
      <c r="G6" s="3" t="s">
        <v>13</v>
      </c>
      <c r="H6" s="3" t="s">
        <v>20</v>
      </c>
      <c r="I6" s="4">
        <v>2100</v>
      </c>
      <c r="J6" s="3">
        <v>1310</v>
      </c>
      <c r="K6">
        <f t="shared" si="0"/>
        <v>1099.53</v>
      </c>
      <c r="M6" s="7">
        <v>2316</v>
      </c>
      <c r="N6" s="4">
        <v>2705.16</v>
      </c>
      <c r="O6" s="5">
        <v>7048</v>
      </c>
      <c r="P6" s="6" t="s">
        <v>185</v>
      </c>
      <c r="Q6" s="5"/>
    </row>
    <row r="7" spans="1:17" x14ac:dyDescent="0.2">
      <c r="B7" s="5"/>
      <c r="C7" t="e" cm="1" vm="1">
        <f t="array" ref="C7">_xlfn._xlws.FILTER($P$2:$P$38,$O$2:$O$38=B7)</f>
        <v>#VALUE!</v>
      </c>
      <c r="D7" s="5"/>
      <c r="F7" s="3">
        <v>20740576</v>
      </c>
      <c r="G7" s="3" t="s">
        <v>13</v>
      </c>
      <c r="H7" s="3" t="s">
        <v>20</v>
      </c>
      <c r="I7" s="4">
        <v>0</v>
      </c>
      <c r="J7" s="3">
        <v>0</v>
      </c>
      <c r="K7">
        <f t="shared" si="0"/>
        <v>0</v>
      </c>
      <c r="M7" s="7">
        <v>2653</v>
      </c>
      <c r="N7" s="4">
        <v>1992.5</v>
      </c>
      <c r="O7" s="5">
        <v>9309</v>
      </c>
      <c r="P7" s="6" t="s">
        <v>185</v>
      </c>
      <c r="Q7" s="5"/>
    </row>
    <row r="8" spans="1:17" x14ac:dyDescent="0.2">
      <c r="B8" s="3">
        <v>2653</v>
      </c>
      <c r="C8" t="str" cm="1">
        <f t="array" ref="C8">_xlfn._xlws.FILTER($P$2:$P$38,$O$2:$O$38=B8)</f>
        <v>Velox Limo LLC</v>
      </c>
      <c r="D8" s="3" t="s">
        <v>161</v>
      </c>
      <c r="F8" s="3">
        <v>756363</v>
      </c>
      <c r="G8" s="3" t="s">
        <v>21</v>
      </c>
      <c r="H8" s="3" t="s">
        <v>22</v>
      </c>
      <c r="I8" s="4">
        <v>150</v>
      </c>
      <c r="J8" s="3">
        <v>0</v>
      </c>
      <c r="K8">
        <f t="shared" si="0"/>
        <v>1992.5</v>
      </c>
      <c r="M8" s="7">
        <v>2675</v>
      </c>
      <c r="N8" s="4">
        <v>607.22</v>
      </c>
      <c r="O8" s="5">
        <v>8136</v>
      </c>
      <c r="P8" s="6" t="s">
        <v>185</v>
      </c>
      <c r="Q8" s="5"/>
    </row>
    <row r="9" spans="1:17" x14ac:dyDescent="0.2">
      <c r="B9" s="3">
        <v>2774</v>
      </c>
      <c r="C9" t="str" cm="1">
        <f t="array" ref="C9">_xlfn._xlws.FILTER($P$2:$P$38,$O$2:$O$38=B9)</f>
        <v>EDT Logistics LLC</v>
      </c>
      <c r="D9" s="3" t="s">
        <v>162</v>
      </c>
      <c r="F9" s="3">
        <v>536174247</v>
      </c>
      <c r="G9" s="3" t="s">
        <v>23</v>
      </c>
      <c r="H9" s="3" t="s">
        <v>24</v>
      </c>
      <c r="I9" s="4">
        <v>2800</v>
      </c>
      <c r="J9" s="3">
        <v>1249</v>
      </c>
      <c r="K9">
        <f t="shared" si="0"/>
        <v>1008.13</v>
      </c>
      <c r="M9" s="7">
        <v>2693</v>
      </c>
      <c r="N9" s="4">
        <v>3028.15</v>
      </c>
      <c r="O9" s="5">
        <v>5490</v>
      </c>
      <c r="P9" s="6" t="s">
        <v>185</v>
      </c>
      <c r="Q9" s="5"/>
    </row>
    <row r="10" spans="1:17" x14ac:dyDescent="0.2">
      <c r="B10" s="3">
        <v>9334</v>
      </c>
      <c r="C10" t="str" cm="1">
        <f t="array" ref="C10">_xlfn._xlws.FILTER($P$2:$P$38,$O$2:$O$38=B10)</f>
        <v>Neta Global Logistic LLC</v>
      </c>
      <c r="D10" s="3" t="s">
        <v>163</v>
      </c>
      <c r="F10" s="3" t="s">
        <v>25</v>
      </c>
      <c r="G10" s="3" t="s">
        <v>26</v>
      </c>
      <c r="H10" s="3" t="s">
        <v>27</v>
      </c>
      <c r="I10" s="4">
        <v>5800</v>
      </c>
      <c r="J10" s="3">
        <v>3060</v>
      </c>
      <c r="K10">
        <f t="shared" si="0"/>
        <v>1820.77</v>
      </c>
      <c r="M10" s="7">
        <v>2774</v>
      </c>
      <c r="N10" s="4">
        <v>1008.13</v>
      </c>
      <c r="O10" s="5">
        <v>7607</v>
      </c>
      <c r="P10" s="6" t="s">
        <v>185</v>
      </c>
      <c r="Q10" s="5"/>
    </row>
    <row r="11" spans="1:17" x14ac:dyDescent="0.2">
      <c r="B11" s="3">
        <v>9348</v>
      </c>
      <c r="C11" t="str" cm="1">
        <f t="array" ref="C11">_xlfn._xlws.FILTER($P$2:$P$38,$O$2:$O$38=B11)</f>
        <v>Ada Fleet LLC</v>
      </c>
      <c r="D11" s="3" t="s">
        <v>164</v>
      </c>
      <c r="F11" s="3">
        <v>536133066</v>
      </c>
      <c r="G11" s="3" t="s">
        <v>28</v>
      </c>
      <c r="H11" s="3" t="s">
        <v>29</v>
      </c>
      <c r="I11" s="4">
        <v>1310</v>
      </c>
      <c r="J11" s="3">
        <v>1088</v>
      </c>
      <c r="K11">
        <f t="shared" si="0"/>
        <v>2541.5100000000002</v>
      </c>
      <c r="M11" s="7">
        <v>2890</v>
      </c>
      <c r="N11" s="4">
        <v>2271.37</v>
      </c>
      <c r="O11" s="5">
        <v>427</v>
      </c>
      <c r="P11" s="6" t="s">
        <v>186</v>
      </c>
      <c r="Q11" s="5"/>
    </row>
    <row r="12" spans="1:17" x14ac:dyDescent="0.2">
      <c r="B12" s="3">
        <v>3866</v>
      </c>
      <c r="C12" t="str" cm="1">
        <f t="array" ref="C12">_xlfn._xlws.FILTER($P$2:$P$38,$O$2:$O$38=B12)</f>
        <v>NZD Transport LLC</v>
      </c>
      <c r="D12" s="3" t="s">
        <v>165</v>
      </c>
      <c r="F12" s="3">
        <v>535451199</v>
      </c>
      <c r="G12" s="3" t="s">
        <v>30</v>
      </c>
      <c r="H12" s="3" t="s">
        <v>21</v>
      </c>
      <c r="I12" s="4">
        <v>3025</v>
      </c>
      <c r="J12" s="3">
        <v>1034</v>
      </c>
      <c r="K12">
        <f t="shared" si="0"/>
        <v>754.35</v>
      </c>
      <c r="M12" s="7">
        <v>2932</v>
      </c>
      <c r="N12" s="4">
        <v>1099.53</v>
      </c>
      <c r="O12" s="5">
        <v>7265</v>
      </c>
      <c r="P12" s="6" t="s">
        <v>186</v>
      </c>
      <c r="Q12" s="5"/>
    </row>
    <row r="13" spans="1:17" x14ac:dyDescent="0.2">
      <c r="B13" s="3">
        <v>2316</v>
      </c>
      <c r="C13" t="str" cm="1">
        <f t="array" ref="C13">_xlfn._xlws.FILTER($P$2:$P$38,$O$2:$O$38=B13)</f>
        <v>Skyhill LLC</v>
      </c>
      <c r="D13" s="3" t="s">
        <v>166</v>
      </c>
      <c r="F13" s="3">
        <v>536115298</v>
      </c>
      <c r="G13" s="3" t="s">
        <v>31</v>
      </c>
      <c r="H13" s="3" t="s">
        <v>32</v>
      </c>
      <c r="I13" s="4">
        <v>1575</v>
      </c>
      <c r="J13" s="3">
        <v>587</v>
      </c>
      <c r="K13">
        <f t="shared" si="0"/>
        <v>2705.16</v>
      </c>
      <c r="M13" s="7">
        <v>3301</v>
      </c>
      <c r="N13" s="4">
        <v>3267.16</v>
      </c>
      <c r="O13" s="5">
        <v>3819</v>
      </c>
      <c r="P13" s="6" t="s">
        <v>186</v>
      </c>
      <c r="Q13" s="5"/>
    </row>
    <row r="14" spans="1:17" x14ac:dyDescent="0.2">
      <c r="B14" s="3">
        <v>6643</v>
      </c>
      <c r="C14" t="str" cm="1">
        <f t="array" ref="C14">_xlfn._xlws.FILTER($P$2:$P$38,$O$2:$O$38=B14)</f>
        <v>FERHAT BAL</v>
      </c>
      <c r="D14" s="3" t="s">
        <v>167</v>
      </c>
      <c r="F14" s="3">
        <v>2175513</v>
      </c>
      <c r="G14" s="3" t="s">
        <v>33</v>
      </c>
      <c r="H14" s="3" t="s">
        <v>34</v>
      </c>
      <c r="I14" s="4">
        <v>1250</v>
      </c>
      <c r="J14" s="3">
        <v>303</v>
      </c>
      <c r="K14">
        <f t="shared" si="0"/>
        <v>1595.61</v>
      </c>
      <c r="M14" s="7">
        <v>3403</v>
      </c>
      <c r="N14" s="4">
        <v>1514.77</v>
      </c>
      <c r="O14" s="5">
        <v>9348</v>
      </c>
      <c r="P14" s="6" t="s">
        <v>186</v>
      </c>
      <c r="Q14" s="5"/>
    </row>
    <row r="15" spans="1:17" x14ac:dyDescent="0.2">
      <c r="B15" s="3">
        <v>2316</v>
      </c>
      <c r="C15" t="str" cm="1">
        <f t="array" ref="C15">_xlfn._xlws.FILTER($P$2:$P$38,$O$2:$O$38=B15)</f>
        <v>Skyhill LLC</v>
      </c>
      <c r="D15" s="3" t="s">
        <v>166</v>
      </c>
      <c r="F15" s="3" t="s">
        <v>35</v>
      </c>
      <c r="G15" s="3" t="s">
        <v>36</v>
      </c>
      <c r="H15" s="3" t="s">
        <v>37</v>
      </c>
      <c r="I15" s="4">
        <v>1200</v>
      </c>
      <c r="J15" s="3">
        <v>760</v>
      </c>
      <c r="K15">
        <f t="shared" si="0"/>
        <v>2705.16</v>
      </c>
      <c r="M15" s="7">
        <v>3819</v>
      </c>
      <c r="N15" s="4">
        <v>3868.15</v>
      </c>
      <c r="O15" s="5">
        <v>7807</v>
      </c>
      <c r="P15" s="6" t="s">
        <v>187</v>
      </c>
      <c r="Q15" s="5"/>
    </row>
    <row r="16" spans="1:17" x14ac:dyDescent="0.2">
      <c r="B16" s="3">
        <v>3819</v>
      </c>
      <c r="C16" t="str" cm="1">
        <f t="array" ref="C16">_xlfn._xlws.FILTER($P$2:$P$42,$O$2:$O$42=B16)</f>
        <v>Ada Fleet LLC</v>
      </c>
      <c r="D16" s="3" t="s">
        <v>168</v>
      </c>
      <c r="F16" s="3">
        <v>536600378</v>
      </c>
      <c r="G16" s="3" t="s">
        <v>38</v>
      </c>
      <c r="H16" s="3" t="s">
        <v>39</v>
      </c>
      <c r="I16" s="4">
        <v>1100</v>
      </c>
      <c r="J16" s="3">
        <v>561</v>
      </c>
      <c r="K16">
        <f t="shared" si="0"/>
        <v>3868.15</v>
      </c>
      <c r="M16" s="7">
        <v>3866</v>
      </c>
      <c r="N16" s="4">
        <v>754.35</v>
      </c>
      <c r="O16" s="5">
        <v>8479</v>
      </c>
      <c r="P16" s="6" t="s">
        <v>188</v>
      </c>
      <c r="Q16" s="5"/>
    </row>
    <row r="17" spans="2:17" x14ac:dyDescent="0.2">
      <c r="B17" s="3">
        <v>3301</v>
      </c>
      <c r="C17" t="str" cm="1">
        <f t="array" ref="C17">_xlfn._xlws.FILTER($P$2:$P$42,$O$2:$O$42=B17)</f>
        <v>Beycan LLC</v>
      </c>
      <c r="D17" s="3" t="s">
        <v>169</v>
      </c>
      <c r="F17" s="3" t="s">
        <v>40</v>
      </c>
      <c r="G17" s="3" t="s">
        <v>41</v>
      </c>
      <c r="H17" s="3" t="s">
        <v>42</v>
      </c>
      <c r="I17" s="4">
        <v>1850</v>
      </c>
      <c r="J17" s="3">
        <v>1459</v>
      </c>
      <c r="K17">
        <f t="shared" si="0"/>
        <v>3267.16</v>
      </c>
      <c r="M17" s="7">
        <v>3881</v>
      </c>
      <c r="N17" s="4">
        <v>991.48</v>
      </c>
      <c r="O17" s="5">
        <v>9617</v>
      </c>
      <c r="P17" s="6" t="s">
        <v>189</v>
      </c>
      <c r="Q17" s="5"/>
    </row>
    <row r="18" spans="2:17" x14ac:dyDescent="0.2">
      <c r="B18" s="3">
        <v>6643</v>
      </c>
      <c r="C18" t="str" cm="1">
        <f t="array" ref="C18">_xlfn._xlws.FILTER($P$2:$P$42,$O$2:$O$42=B18)</f>
        <v>FERHAT BAL</v>
      </c>
      <c r="D18" s="3" t="s">
        <v>167</v>
      </c>
      <c r="F18" s="3">
        <v>2182447</v>
      </c>
      <c r="G18" s="3" t="s">
        <v>43</v>
      </c>
      <c r="H18" s="3" t="s">
        <v>44</v>
      </c>
      <c r="I18" s="4">
        <v>150</v>
      </c>
      <c r="J18" s="3">
        <v>88</v>
      </c>
      <c r="K18">
        <f t="shared" si="0"/>
        <v>1595.61</v>
      </c>
      <c r="M18" s="7">
        <v>6338</v>
      </c>
      <c r="N18" s="4">
        <v>3346.01</v>
      </c>
      <c r="O18" s="5">
        <v>2693</v>
      </c>
      <c r="P18" s="6" t="s">
        <v>190</v>
      </c>
      <c r="Q18" s="5"/>
    </row>
    <row r="19" spans="2:17" x14ac:dyDescent="0.2">
      <c r="B19" s="3">
        <v>7352</v>
      </c>
      <c r="C19" t="str" cm="1">
        <f t="array" ref="C19">_xlfn._xlws.FILTER($P$2:$P$42,$O$2:$O$42=B19)</f>
        <v>Careway Logistics LLC</v>
      </c>
      <c r="D19" s="3" t="s">
        <v>170</v>
      </c>
      <c r="F19" s="3">
        <v>536646440</v>
      </c>
      <c r="G19" s="3" t="s">
        <v>45</v>
      </c>
      <c r="H19" s="3" t="s">
        <v>46</v>
      </c>
      <c r="I19" s="4">
        <v>3350</v>
      </c>
      <c r="J19" s="3">
        <v>1614</v>
      </c>
      <c r="K19">
        <f t="shared" si="0"/>
        <v>2751.8</v>
      </c>
      <c r="M19" s="7">
        <v>6339</v>
      </c>
      <c r="N19" s="4">
        <v>2400.9899999999998</v>
      </c>
      <c r="O19" s="5">
        <v>3403</v>
      </c>
      <c r="P19" s="6" t="s">
        <v>190</v>
      </c>
      <c r="Q19" s="5"/>
    </row>
    <row r="20" spans="2:17" x14ac:dyDescent="0.2">
      <c r="B20" s="3">
        <v>8775</v>
      </c>
      <c r="C20" t="str" cm="1">
        <f t="array" ref="C20">_xlfn._xlws.FILTER($P$2:$P$42,$O$2:$O$42=B20)</f>
        <v>Activ Logistics LLC</v>
      </c>
      <c r="D20" s="3" t="s">
        <v>171</v>
      </c>
      <c r="F20" s="3">
        <v>2177024</v>
      </c>
      <c r="G20" s="3" t="s">
        <v>47</v>
      </c>
      <c r="H20" s="3" t="s">
        <v>48</v>
      </c>
      <c r="I20" s="4">
        <v>1200</v>
      </c>
      <c r="J20" s="3">
        <v>537</v>
      </c>
      <c r="K20">
        <f t="shared" si="0"/>
        <v>509.59</v>
      </c>
      <c r="M20" s="7">
        <v>6643</v>
      </c>
      <c r="N20" s="4">
        <v>1595.61</v>
      </c>
      <c r="O20" s="5">
        <v>9334</v>
      </c>
      <c r="P20" s="6" t="s">
        <v>191</v>
      </c>
      <c r="Q20" s="5"/>
    </row>
    <row r="21" spans="2:17" x14ac:dyDescent="0.2">
      <c r="B21" s="3">
        <v>6339</v>
      </c>
      <c r="C21" t="str" cm="1">
        <f t="array" ref="C21">_xlfn._xlws.FILTER($P$2:$P$42,$O$2:$O$42=B21)</f>
        <v>Boss Trucking Equipment LLC</v>
      </c>
      <c r="D21" s="3" t="s">
        <v>172</v>
      </c>
      <c r="F21" s="3">
        <v>535741795</v>
      </c>
      <c r="G21" s="3" t="s">
        <v>49</v>
      </c>
      <c r="H21" s="3" t="s">
        <v>50</v>
      </c>
      <c r="I21" s="4">
        <v>2670</v>
      </c>
      <c r="J21" s="3">
        <v>1130</v>
      </c>
      <c r="K21">
        <f t="shared" si="0"/>
        <v>2400.9899999999998</v>
      </c>
      <c r="M21" s="7">
        <v>6813</v>
      </c>
      <c r="N21" s="4">
        <v>1077.1099999999999</v>
      </c>
      <c r="O21" s="5">
        <v>2890</v>
      </c>
      <c r="P21" s="6" t="s">
        <v>192</v>
      </c>
      <c r="Q21" s="5"/>
    </row>
    <row r="22" spans="2:17" x14ac:dyDescent="0.2">
      <c r="B22" s="3">
        <v>7807</v>
      </c>
      <c r="C22" t="str" cm="1">
        <f t="array" ref="C22">_xlfn._xlws.FILTER($P$2:$P$42,$O$2:$O$42=B22)</f>
        <v>Komo Logistics LLC</v>
      </c>
      <c r="D22" s="3" t="s">
        <v>173</v>
      </c>
      <c r="F22" s="3">
        <v>1894900</v>
      </c>
      <c r="G22" s="3" t="s">
        <v>51</v>
      </c>
      <c r="H22" s="3" t="s">
        <v>52</v>
      </c>
      <c r="I22" s="4">
        <v>2400</v>
      </c>
      <c r="J22" s="3">
        <v>1448</v>
      </c>
      <c r="K22">
        <f t="shared" si="0"/>
        <v>2234.34</v>
      </c>
      <c r="M22" s="7">
        <v>6960</v>
      </c>
      <c r="N22" s="4">
        <v>2063.1999999999998</v>
      </c>
      <c r="O22" s="5">
        <v>2316</v>
      </c>
      <c r="P22" s="6" t="s">
        <v>192</v>
      </c>
      <c r="Q22" s="5"/>
    </row>
    <row r="23" spans="2:17" x14ac:dyDescent="0.2">
      <c r="B23" s="3">
        <v>2653</v>
      </c>
      <c r="C23" t="str" cm="1">
        <f t="array" ref="C23">_xlfn._xlws.FILTER($P$2:$P$42,$O$2:$O$42=B23)</f>
        <v>Velox Limo LLC</v>
      </c>
      <c r="D23" s="3" t="s">
        <v>161</v>
      </c>
      <c r="F23" s="3">
        <v>536231347</v>
      </c>
      <c r="G23" s="3" t="s">
        <v>53</v>
      </c>
      <c r="H23" s="3" t="s">
        <v>54</v>
      </c>
      <c r="I23" s="4">
        <v>2475</v>
      </c>
      <c r="J23" s="3">
        <v>1480</v>
      </c>
      <c r="K23">
        <f t="shared" si="0"/>
        <v>1992.5</v>
      </c>
      <c r="M23" s="7">
        <v>7048</v>
      </c>
      <c r="N23" s="4">
        <v>3269.43</v>
      </c>
      <c r="O23" s="5">
        <v>1002</v>
      </c>
      <c r="P23" s="6" t="s">
        <v>193</v>
      </c>
      <c r="Q23" s="5"/>
    </row>
    <row r="24" spans="2:17" x14ac:dyDescent="0.2">
      <c r="B24" s="3">
        <v>3819</v>
      </c>
      <c r="C24" t="str" cm="1">
        <f t="array" ref="C24">_xlfn._xlws.FILTER($P$2:$P$42,$O$2:$O$42=B24)</f>
        <v>Ada Fleet LLC</v>
      </c>
      <c r="D24" s="3" t="s">
        <v>168</v>
      </c>
      <c r="F24" s="3">
        <v>536733975</v>
      </c>
      <c r="G24" s="3" t="s">
        <v>55</v>
      </c>
      <c r="H24" s="3" t="s">
        <v>56</v>
      </c>
      <c r="I24" s="4">
        <v>0</v>
      </c>
      <c r="J24" s="3">
        <v>0</v>
      </c>
      <c r="K24">
        <f t="shared" si="0"/>
        <v>3868.15</v>
      </c>
      <c r="M24" s="7">
        <v>7265</v>
      </c>
      <c r="N24" s="4">
        <v>2305.29</v>
      </c>
      <c r="O24" s="5">
        <v>515</v>
      </c>
      <c r="P24" s="6" t="s">
        <v>194</v>
      </c>
      <c r="Q24" s="5"/>
    </row>
    <row r="25" spans="2:17" x14ac:dyDescent="0.2">
      <c r="B25" s="3">
        <v>8775</v>
      </c>
      <c r="C25" t="str" cm="1">
        <f t="array" ref="C25">_xlfn._xlws.FILTER($P$2:$P$42,$O$2:$O$42=B25)</f>
        <v>Activ Logistics LLC</v>
      </c>
      <c r="D25" s="3" t="s">
        <v>171</v>
      </c>
      <c r="F25" s="3">
        <v>536450046</v>
      </c>
      <c r="G25" s="3" t="s">
        <v>57</v>
      </c>
      <c r="H25" s="3" t="s">
        <v>58</v>
      </c>
      <c r="I25" s="4">
        <v>1500</v>
      </c>
      <c r="J25" s="3">
        <v>607</v>
      </c>
      <c r="K25">
        <f t="shared" si="0"/>
        <v>509.59</v>
      </c>
      <c r="M25" s="7">
        <v>7352</v>
      </c>
      <c r="N25" s="4">
        <v>2751.8</v>
      </c>
      <c r="O25" s="5">
        <v>514</v>
      </c>
      <c r="P25" s="6" t="s">
        <v>194</v>
      </c>
      <c r="Q25" s="5"/>
    </row>
    <row r="26" spans="2:17" x14ac:dyDescent="0.2">
      <c r="B26" s="3">
        <v>9348</v>
      </c>
      <c r="C26" t="str" cm="1">
        <f t="array" ref="C26">_xlfn._xlws.FILTER($P$2:$P$42,$O$2:$O$42=B26)</f>
        <v>Ada Fleet LLC</v>
      </c>
      <c r="D26" s="3" t="s">
        <v>164</v>
      </c>
      <c r="F26" s="3">
        <v>1544311</v>
      </c>
      <c r="G26" s="3" t="s">
        <v>59</v>
      </c>
      <c r="H26" s="3" t="s">
        <v>60</v>
      </c>
      <c r="I26" s="4">
        <v>2570</v>
      </c>
      <c r="J26" s="3">
        <v>999</v>
      </c>
      <c r="K26">
        <f t="shared" si="0"/>
        <v>2541.5100000000002</v>
      </c>
      <c r="M26" s="7">
        <v>7807</v>
      </c>
      <c r="N26" s="4">
        <v>2234.34</v>
      </c>
      <c r="O26" s="5">
        <v>2932</v>
      </c>
      <c r="P26" s="6" t="s">
        <v>195</v>
      </c>
      <c r="Q26" s="5"/>
    </row>
    <row r="27" spans="2:17" x14ac:dyDescent="0.2">
      <c r="B27" s="3">
        <v>6960</v>
      </c>
      <c r="C27" t="str" cm="1">
        <f t="array" ref="C27">_xlfn._xlws.FILTER($P$2:$P$42,$O$2:$O$42=B27)</f>
        <v>Arba Express LLC</v>
      </c>
      <c r="D27" s="3" t="s">
        <v>174</v>
      </c>
      <c r="F27" s="3">
        <v>1768827</v>
      </c>
      <c r="G27" s="3" t="s">
        <v>61</v>
      </c>
      <c r="H27" s="3" t="s">
        <v>62</v>
      </c>
      <c r="I27" s="4">
        <v>2900</v>
      </c>
      <c r="J27" s="3">
        <v>1386</v>
      </c>
      <c r="K27">
        <f t="shared" si="0"/>
        <v>2063.1999999999998</v>
      </c>
      <c r="M27" s="7">
        <v>8775</v>
      </c>
      <c r="N27" s="4">
        <v>509.59</v>
      </c>
      <c r="O27" s="5">
        <v>2774</v>
      </c>
      <c r="P27" s="6" t="s">
        <v>195</v>
      </c>
      <c r="Q27" s="5"/>
    </row>
    <row r="28" spans="2:17" x14ac:dyDescent="0.2">
      <c r="B28" s="3">
        <v>7048</v>
      </c>
      <c r="C28" t="str" cm="1">
        <f t="array" ref="C28">_xlfn._xlws.FILTER($P$2:$P$42,$O$2:$O$42=B28)</f>
        <v>Arba Express LLC</v>
      </c>
      <c r="D28" s="3" t="s">
        <v>175</v>
      </c>
      <c r="F28" s="3">
        <v>536539674</v>
      </c>
      <c r="G28" s="3" t="s">
        <v>34</v>
      </c>
      <c r="H28" s="3" t="s">
        <v>63</v>
      </c>
      <c r="I28" s="4">
        <v>2300</v>
      </c>
      <c r="J28" s="3">
        <v>1490</v>
      </c>
      <c r="K28">
        <f t="shared" si="0"/>
        <v>3269.43</v>
      </c>
      <c r="M28" s="7">
        <v>9334</v>
      </c>
      <c r="N28" s="4">
        <v>1820.77</v>
      </c>
      <c r="O28" s="5">
        <v>659</v>
      </c>
      <c r="P28" s="6" t="s">
        <v>195</v>
      </c>
      <c r="Q28" s="5"/>
    </row>
    <row r="29" spans="2:17" x14ac:dyDescent="0.2">
      <c r="B29" s="3">
        <v>2890</v>
      </c>
      <c r="C29" t="str" cm="1">
        <f t="array" ref="C29">_xlfn._xlws.FILTER($P$2:$P$42,$O$2:$O$42=B29)</f>
        <v>Skyhill LLC</v>
      </c>
      <c r="D29" s="3" t="s">
        <v>176</v>
      </c>
      <c r="F29" s="3">
        <v>7295292</v>
      </c>
      <c r="G29" s="3" t="s">
        <v>64</v>
      </c>
      <c r="H29" s="3" t="s">
        <v>65</v>
      </c>
      <c r="I29" s="4">
        <v>2600</v>
      </c>
      <c r="J29" s="3">
        <v>1569</v>
      </c>
      <c r="K29">
        <f t="shared" si="0"/>
        <v>2271.37</v>
      </c>
      <c r="M29" s="7">
        <v>9348</v>
      </c>
      <c r="N29" s="4">
        <v>2541.5100000000002</v>
      </c>
      <c r="O29" s="5">
        <v>3301</v>
      </c>
      <c r="P29" s="6" t="s">
        <v>196</v>
      </c>
      <c r="Q29" s="5"/>
    </row>
    <row r="30" spans="2:17" x14ac:dyDescent="0.2">
      <c r="B30" s="3">
        <v>2932</v>
      </c>
      <c r="C30" t="str" cm="1">
        <f t="array" ref="C30">_xlfn._xlws.FILTER($P$2:$P$42,$O$2:$O$42=B30)</f>
        <v>EDT Logistics LLC</v>
      </c>
      <c r="D30" s="3" t="s">
        <v>160</v>
      </c>
      <c r="F30" s="3">
        <v>536886547</v>
      </c>
      <c r="G30" s="3" t="s">
        <v>66</v>
      </c>
      <c r="H30" s="3" t="s">
        <v>67</v>
      </c>
      <c r="I30" s="4">
        <v>3250</v>
      </c>
      <c r="J30" s="3">
        <v>1310</v>
      </c>
      <c r="K30">
        <f t="shared" si="0"/>
        <v>1099.53</v>
      </c>
      <c r="M30" s="7">
        <v>9617</v>
      </c>
      <c r="N30" s="4">
        <v>1600.39</v>
      </c>
      <c r="O30" s="5">
        <v>913</v>
      </c>
      <c r="P30" s="6" t="s">
        <v>197</v>
      </c>
      <c r="Q30" s="5"/>
    </row>
    <row r="31" spans="2:17" x14ac:dyDescent="0.2">
      <c r="B31" s="3">
        <v>2693</v>
      </c>
      <c r="C31" t="str" cm="1">
        <f t="array" ref="C31">_xlfn._xlws.FILTER($P$2:$P$42,$O$2:$O$42=B31)</f>
        <v>US Ela Logistic LLC</v>
      </c>
      <c r="D31" s="3" t="s">
        <v>177</v>
      </c>
      <c r="F31" s="3">
        <v>20755319</v>
      </c>
      <c r="G31" s="3" t="s">
        <v>68</v>
      </c>
      <c r="H31" s="3" t="s">
        <v>69</v>
      </c>
      <c r="I31" s="4">
        <v>7000</v>
      </c>
      <c r="J31" s="3">
        <v>3216</v>
      </c>
      <c r="K31">
        <f t="shared" si="0"/>
        <v>3028.15</v>
      </c>
      <c r="O31" s="5">
        <v>2653</v>
      </c>
      <c r="P31" s="5" t="s">
        <v>198</v>
      </c>
      <c r="Q31" s="5"/>
    </row>
    <row r="32" spans="2:17" x14ac:dyDescent="0.2">
      <c r="B32" s="3">
        <v>7265</v>
      </c>
      <c r="C32" t="str" cm="1">
        <f t="array" ref="C32">_xlfn._xlws.FILTER($P$2:$P$42,$O$2:$O$42=B32)</f>
        <v>Ada Fleet LLC</v>
      </c>
      <c r="D32" s="3" t="s">
        <v>178</v>
      </c>
      <c r="F32" s="3">
        <v>536865212</v>
      </c>
      <c r="G32" s="3" t="s">
        <v>70</v>
      </c>
      <c r="H32" s="3" t="s">
        <v>71</v>
      </c>
      <c r="I32" s="4">
        <v>1210</v>
      </c>
      <c r="J32" s="3">
        <v>921</v>
      </c>
      <c r="K32">
        <f t="shared" si="0"/>
        <v>2305.29</v>
      </c>
      <c r="O32" s="5">
        <v>6813</v>
      </c>
      <c r="P32" s="5" t="s">
        <v>201</v>
      </c>
      <c r="Q32" s="5"/>
    </row>
    <row r="33" spans="2:17" x14ac:dyDescent="0.2">
      <c r="B33" s="3">
        <v>6338</v>
      </c>
      <c r="C33" t="str" cm="1">
        <f t="array" ref="C33">_xlfn._xlws.FILTER($P$2:$P$42,$O$2:$O$42=B33)</f>
        <v>Boss Trucking Equipment LLC</v>
      </c>
      <c r="D33" s="3" t="s">
        <v>159</v>
      </c>
      <c r="F33" s="3">
        <v>2802238</v>
      </c>
      <c r="G33" s="3" t="s">
        <v>72</v>
      </c>
      <c r="H33" s="3" t="s">
        <v>73</v>
      </c>
      <c r="I33" s="4">
        <v>700</v>
      </c>
      <c r="J33" s="3">
        <v>270</v>
      </c>
      <c r="K33">
        <f t="shared" si="0"/>
        <v>3346.01</v>
      </c>
      <c r="O33" s="5">
        <v>6338</v>
      </c>
      <c r="P33" s="5" t="s">
        <v>202</v>
      </c>
      <c r="Q33" s="5"/>
    </row>
    <row r="34" spans="2:17" x14ac:dyDescent="0.2">
      <c r="B34" s="3">
        <v>6643</v>
      </c>
      <c r="C34" t="str" cm="1">
        <f t="array" ref="C34">_xlfn._xlws.FILTER($P$2:$P$42,$O$2:$O$42=B34)</f>
        <v>FERHAT BAL</v>
      </c>
      <c r="D34" s="3" t="s">
        <v>167</v>
      </c>
      <c r="F34" s="3">
        <v>2891394</v>
      </c>
      <c r="G34" s="3" t="s">
        <v>74</v>
      </c>
      <c r="H34" s="3" t="s">
        <v>75</v>
      </c>
      <c r="I34" s="4">
        <v>685</v>
      </c>
      <c r="J34" s="3">
        <v>337</v>
      </c>
      <c r="K34">
        <f t="shared" si="0"/>
        <v>1595.61</v>
      </c>
      <c r="O34" s="5">
        <v>3866</v>
      </c>
      <c r="P34" s="5" t="s">
        <v>203</v>
      </c>
      <c r="Q34" s="5"/>
    </row>
    <row r="35" spans="2:17" x14ac:dyDescent="0.2">
      <c r="B35" s="3">
        <v>9617</v>
      </c>
      <c r="C35" t="str" cm="1">
        <f t="array" ref="C35">_xlfn._xlws.FILTER($P$2:$P$42,$O$2:$O$42=B35)</f>
        <v>Nationwide LLC</v>
      </c>
      <c r="D35" s="3" t="s">
        <v>158</v>
      </c>
      <c r="F35" s="3">
        <v>536028870</v>
      </c>
      <c r="G35" s="3" t="s">
        <v>76</v>
      </c>
      <c r="H35" s="3" t="s">
        <v>77</v>
      </c>
      <c r="I35" s="4">
        <v>4300</v>
      </c>
      <c r="J35" s="3">
        <v>1558</v>
      </c>
      <c r="K35">
        <f t="shared" si="0"/>
        <v>1600.39</v>
      </c>
      <c r="O35" s="5">
        <v>2516</v>
      </c>
      <c r="P35" s="6" t="s">
        <v>199</v>
      </c>
      <c r="Q35" s="5"/>
    </row>
    <row r="36" spans="2:17" x14ac:dyDescent="0.2">
      <c r="B36" s="3">
        <v>3819</v>
      </c>
      <c r="C36" t="str" cm="1">
        <f t="array" ref="C36">_xlfn._xlws.FILTER($P$2:$P$42,$O$2:$O$42=B36)</f>
        <v>Ada Fleet LLC</v>
      </c>
      <c r="D36" s="3" t="s">
        <v>168</v>
      </c>
      <c r="F36" s="3">
        <v>20657543</v>
      </c>
      <c r="G36" s="3" t="s">
        <v>78</v>
      </c>
      <c r="H36" s="3" t="s">
        <v>79</v>
      </c>
      <c r="I36" s="4">
        <v>2400</v>
      </c>
      <c r="J36" s="3">
        <v>800</v>
      </c>
      <c r="K36">
        <f t="shared" si="0"/>
        <v>3868.15</v>
      </c>
      <c r="O36" s="5">
        <v>997</v>
      </c>
      <c r="P36" s="6" t="s">
        <v>199</v>
      </c>
      <c r="Q36" s="5"/>
    </row>
    <row r="37" spans="2:17" x14ac:dyDescent="0.2">
      <c r="B37" s="5"/>
      <c r="C37" t="e" cm="1" vm="1">
        <f t="array" ref="C37">_xlfn._xlws.FILTER($P$2:$P$42,$O$2:$O$42=B37)</f>
        <v>#VALUE!</v>
      </c>
      <c r="D37" s="5"/>
      <c r="F37" s="3">
        <v>20657543</v>
      </c>
      <c r="G37" s="3" t="s">
        <v>78</v>
      </c>
      <c r="H37" s="3" t="s">
        <v>79</v>
      </c>
      <c r="I37" s="4">
        <v>0</v>
      </c>
      <c r="J37" s="3">
        <v>0</v>
      </c>
      <c r="K37">
        <f t="shared" si="0"/>
        <v>0</v>
      </c>
      <c r="O37" s="5">
        <v>6643</v>
      </c>
      <c r="P37" s="6" t="s">
        <v>167</v>
      </c>
      <c r="Q37" s="5"/>
    </row>
    <row r="38" spans="2:17" x14ac:dyDescent="0.2">
      <c r="B38" s="3">
        <v>6339</v>
      </c>
      <c r="C38" t="str" cm="1">
        <f t="array" ref="C38">_xlfn._xlws.FILTER($P$2:$P$42,$O$2:$O$42=B38)</f>
        <v>Boss Trucking Equipment LLC</v>
      </c>
      <c r="D38" s="3" t="s">
        <v>172</v>
      </c>
      <c r="F38" s="3">
        <v>65333448</v>
      </c>
      <c r="G38" s="3" t="s">
        <v>80</v>
      </c>
      <c r="H38" s="3" t="s">
        <v>81</v>
      </c>
      <c r="I38" s="4">
        <v>1200</v>
      </c>
      <c r="J38" s="3">
        <v>282</v>
      </c>
      <c r="K38">
        <f t="shared" si="0"/>
        <v>2400.9899999999998</v>
      </c>
      <c r="O38" s="5">
        <v>8775</v>
      </c>
      <c r="P38" s="5" t="s">
        <v>200</v>
      </c>
      <c r="Q38" s="5"/>
    </row>
    <row r="39" spans="2:17" x14ac:dyDescent="0.2">
      <c r="B39" s="3">
        <v>6338</v>
      </c>
      <c r="C39" t="str" cm="1">
        <f t="array" ref="C39">_xlfn._xlws.FILTER($P$2:$P$42,$O$2:$O$42=B39)</f>
        <v>Boss Trucking Equipment LLC</v>
      </c>
      <c r="D39" s="3" t="s">
        <v>159</v>
      </c>
      <c r="F39" s="3">
        <v>5570975</v>
      </c>
      <c r="G39" s="3" t="s">
        <v>82</v>
      </c>
      <c r="H39" s="3" t="s">
        <v>83</v>
      </c>
      <c r="I39" s="4">
        <v>5400</v>
      </c>
      <c r="J39" s="3">
        <v>2927</v>
      </c>
      <c r="K39">
        <f t="shared" si="0"/>
        <v>3346.01</v>
      </c>
      <c r="O39" s="5">
        <v>7352</v>
      </c>
      <c r="P39" s="6" t="s">
        <v>204</v>
      </c>
    </row>
    <row r="40" spans="2:17" x14ac:dyDescent="0.2">
      <c r="B40" s="3">
        <v>6339</v>
      </c>
      <c r="C40" t="str" cm="1">
        <f t="array" ref="C40">_xlfn._xlws.FILTER($P$2:$P$42,$O$2:$O$42=B40)</f>
        <v>Boss Trucking Equipment LLC</v>
      </c>
      <c r="D40" s="3" t="s">
        <v>172</v>
      </c>
      <c r="F40" s="3" t="s">
        <v>84</v>
      </c>
      <c r="G40" s="3" t="s">
        <v>85</v>
      </c>
      <c r="H40" s="3" t="s">
        <v>86</v>
      </c>
      <c r="I40" s="4">
        <v>0</v>
      </c>
      <c r="J40" s="3">
        <v>0</v>
      </c>
      <c r="K40">
        <f t="shared" si="0"/>
        <v>2400.9899999999998</v>
      </c>
      <c r="O40" s="5">
        <v>6339</v>
      </c>
      <c r="P40" s="6" t="s">
        <v>202</v>
      </c>
    </row>
    <row r="41" spans="2:17" x14ac:dyDescent="0.2">
      <c r="B41" s="3">
        <v>3819</v>
      </c>
      <c r="C41" t="str" cm="1">
        <f t="array" ref="C41">_xlfn._xlws.FILTER($P$2:$P$42,$O$2:$O$42=B41)</f>
        <v>Ada Fleet LLC</v>
      </c>
      <c r="D41" s="3" t="s">
        <v>168</v>
      </c>
      <c r="F41" s="3">
        <v>8037078</v>
      </c>
      <c r="G41" s="3" t="s">
        <v>87</v>
      </c>
      <c r="H41" s="3" t="s">
        <v>88</v>
      </c>
      <c r="I41" s="4">
        <v>6600</v>
      </c>
      <c r="J41" s="3">
        <v>2792</v>
      </c>
      <c r="K41">
        <f t="shared" si="0"/>
        <v>3868.15</v>
      </c>
      <c r="O41" s="5">
        <v>3881</v>
      </c>
      <c r="P41" s="6" t="s">
        <v>201</v>
      </c>
    </row>
    <row r="42" spans="2:17" x14ac:dyDescent="0.2">
      <c r="B42" s="3">
        <v>3403</v>
      </c>
      <c r="C42" t="str" cm="1">
        <f t="array" ref="C42">_xlfn._xlws.FILTER($P$2:$P$42,$O$2:$O$42=B42)</f>
        <v>US Ela Logistic LLC</v>
      </c>
      <c r="D42" s="3" t="s">
        <v>179</v>
      </c>
      <c r="F42" s="3">
        <v>123519</v>
      </c>
      <c r="G42" s="3" t="s">
        <v>89</v>
      </c>
      <c r="H42" s="3" t="s">
        <v>90</v>
      </c>
      <c r="I42" s="4">
        <v>2100</v>
      </c>
      <c r="J42" s="3">
        <v>1203</v>
      </c>
      <c r="K42">
        <f t="shared" si="0"/>
        <v>1514.77</v>
      </c>
      <c r="O42" s="5">
        <v>2675</v>
      </c>
      <c r="P42" s="6" t="s">
        <v>205</v>
      </c>
    </row>
    <row r="43" spans="2:17" x14ac:dyDescent="0.2">
      <c r="B43" s="3">
        <v>6960</v>
      </c>
      <c r="C43" t="str" cm="1">
        <f t="array" ref="C43">_xlfn._xlws.FILTER($P$2:$P$42,$O$2:$O$42=B43)</f>
        <v>Arba Express LLC</v>
      </c>
      <c r="D43" s="3" t="s">
        <v>174</v>
      </c>
      <c r="F43" s="3">
        <v>4226036</v>
      </c>
      <c r="G43" s="3" t="s">
        <v>91</v>
      </c>
      <c r="H43" s="3" t="s">
        <v>92</v>
      </c>
      <c r="I43" s="4">
        <v>4500</v>
      </c>
      <c r="J43" s="3">
        <v>1956</v>
      </c>
      <c r="K43">
        <f t="shared" si="0"/>
        <v>2063.1999999999998</v>
      </c>
    </row>
    <row r="44" spans="2:17" x14ac:dyDescent="0.2">
      <c r="B44" s="3">
        <v>6643</v>
      </c>
      <c r="C44" t="str" cm="1">
        <f t="array" ref="C44">_xlfn._xlws.FILTER($P$2:$P$42,$O$2:$O$42=B44)</f>
        <v>FERHAT BAL</v>
      </c>
      <c r="D44" s="3" t="s">
        <v>167</v>
      </c>
      <c r="F44" s="3">
        <v>2183669</v>
      </c>
      <c r="G44" s="3" t="s">
        <v>93</v>
      </c>
      <c r="H44" s="3" t="s">
        <v>94</v>
      </c>
      <c r="I44" s="4">
        <v>1450</v>
      </c>
      <c r="J44" s="3">
        <v>645</v>
      </c>
      <c r="K44">
        <f t="shared" si="0"/>
        <v>1595.61</v>
      </c>
    </row>
    <row r="45" spans="2:17" x14ac:dyDescent="0.2">
      <c r="B45" s="3">
        <v>3301</v>
      </c>
      <c r="C45" t="str" cm="1">
        <f t="array" ref="C45">_xlfn._xlws.FILTER($P$2:$P$42,$O$2:$O$42=B45)</f>
        <v>Beycan LLC</v>
      </c>
      <c r="D45" s="3" t="s">
        <v>169</v>
      </c>
      <c r="F45" s="3">
        <v>1518475</v>
      </c>
      <c r="G45" s="3" t="s">
        <v>95</v>
      </c>
      <c r="H45" s="3" t="s">
        <v>96</v>
      </c>
      <c r="I45" s="4">
        <v>3000</v>
      </c>
      <c r="J45" s="3">
        <v>1093</v>
      </c>
      <c r="K45">
        <f t="shared" si="0"/>
        <v>3267.16</v>
      </c>
    </row>
    <row r="46" spans="2:17" x14ac:dyDescent="0.2">
      <c r="B46" s="3">
        <v>2653</v>
      </c>
      <c r="C46" t="str" cm="1">
        <f t="array" ref="C46">_xlfn._xlws.FILTER($P$2:$P$42,$O$2:$O$42=B46)</f>
        <v>Velox Limo LLC</v>
      </c>
      <c r="D46" s="3" t="s">
        <v>161</v>
      </c>
      <c r="F46" s="3" t="s">
        <v>97</v>
      </c>
      <c r="G46" s="3" t="s">
        <v>36</v>
      </c>
      <c r="H46" s="3" t="s">
        <v>98</v>
      </c>
      <c r="I46" s="4">
        <v>2100</v>
      </c>
      <c r="J46" s="3">
        <v>1236</v>
      </c>
      <c r="K46">
        <f t="shared" si="0"/>
        <v>1992.5</v>
      </c>
    </row>
    <row r="47" spans="2:17" x14ac:dyDescent="0.2">
      <c r="B47" s="3">
        <v>7352</v>
      </c>
      <c r="C47" t="str" cm="1">
        <f t="array" ref="C47">_xlfn._xlws.FILTER($P$2:$P$42,$O$2:$O$42=B47)</f>
        <v>Careway Logistics LLC</v>
      </c>
      <c r="D47" s="3" t="s">
        <v>170</v>
      </c>
      <c r="F47" s="3">
        <v>2902579</v>
      </c>
      <c r="G47" s="3" t="s">
        <v>96</v>
      </c>
      <c r="H47" s="3" t="s">
        <v>99</v>
      </c>
      <c r="I47" s="4">
        <v>950</v>
      </c>
      <c r="J47" s="3">
        <v>464</v>
      </c>
      <c r="K47">
        <f t="shared" si="0"/>
        <v>2751.8</v>
      </c>
    </row>
    <row r="48" spans="2:17" x14ac:dyDescent="0.2">
      <c r="B48" s="3">
        <v>7807</v>
      </c>
      <c r="C48" t="str" cm="1">
        <f t="array" ref="C48">_xlfn._xlws.FILTER($P$2:$P$42,$O$2:$O$42=B48)</f>
        <v>Komo Logistics LLC</v>
      </c>
      <c r="D48" s="3" t="s">
        <v>173</v>
      </c>
      <c r="F48" s="3">
        <v>536552324</v>
      </c>
      <c r="G48" s="3" t="s">
        <v>100</v>
      </c>
      <c r="H48" s="3" t="s">
        <v>101</v>
      </c>
      <c r="I48" s="4">
        <v>820</v>
      </c>
      <c r="J48" s="3">
        <v>551</v>
      </c>
      <c r="K48">
        <f t="shared" si="0"/>
        <v>2234.34</v>
      </c>
    </row>
    <row r="49" spans="2:11" x14ac:dyDescent="0.2">
      <c r="B49" s="3">
        <v>7807</v>
      </c>
      <c r="C49" t="str" cm="1">
        <f t="array" ref="C49">_xlfn._xlws.FILTER($P$2:$P$42,$O$2:$O$42=B49)</f>
        <v>Komo Logistics LLC</v>
      </c>
      <c r="D49" s="3" t="s">
        <v>173</v>
      </c>
      <c r="F49" s="3">
        <v>8033307</v>
      </c>
      <c r="G49" s="3" t="s">
        <v>102</v>
      </c>
      <c r="H49" s="3" t="s">
        <v>103</v>
      </c>
      <c r="I49" s="4">
        <v>150</v>
      </c>
      <c r="J49" s="3">
        <v>7</v>
      </c>
      <c r="K49">
        <f t="shared" si="0"/>
        <v>2234.34</v>
      </c>
    </row>
    <row r="50" spans="2:11" x14ac:dyDescent="0.2">
      <c r="B50" s="3">
        <v>6813</v>
      </c>
      <c r="C50" t="str" cm="1">
        <f t="array" ref="C50">_xlfn._xlws.FILTER($P$2:$P$42,$O$2:$O$42=B50)</f>
        <v>Cey &amp;Cey LLC</v>
      </c>
      <c r="D50" s="3" t="s">
        <v>156</v>
      </c>
      <c r="F50" s="3" t="s">
        <v>104</v>
      </c>
      <c r="G50" s="3" t="s">
        <v>105</v>
      </c>
      <c r="H50" s="3" t="s">
        <v>106</v>
      </c>
      <c r="I50" s="4">
        <v>675</v>
      </c>
      <c r="J50" s="3">
        <v>369</v>
      </c>
      <c r="K50">
        <f t="shared" si="0"/>
        <v>1077.1099999999999</v>
      </c>
    </row>
    <row r="51" spans="2:11" x14ac:dyDescent="0.2">
      <c r="B51" s="3">
        <v>7265</v>
      </c>
      <c r="C51" t="str" cm="1">
        <f t="array" ref="C51">_xlfn._xlws.FILTER($P$2:$P$42,$O$2:$O$42=B51)</f>
        <v>Ada Fleet LLC</v>
      </c>
      <c r="D51" s="3" t="s">
        <v>178</v>
      </c>
      <c r="F51" s="3">
        <v>536276954</v>
      </c>
      <c r="G51" s="3" t="s">
        <v>107</v>
      </c>
      <c r="H51" s="3" t="s">
        <v>108</v>
      </c>
      <c r="I51" s="4">
        <v>1550</v>
      </c>
      <c r="J51" s="3">
        <v>544</v>
      </c>
      <c r="K51">
        <f t="shared" si="0"/>
        <v>2305.29</v>
      </c>
    </row>
    <row r="52" spans="2:11" x14ac:dyDescent="0.2">
      <c r="B52" s="3">
        <v>7048</v>
      </c>
      <c r="C52" t="str" cm="1">
        <f t="array" ref="C52">_xlfn._xlws.FILTER($P$2:$P$42,$O$2:$O$42=B52)</f>
        <v>Arba Express LLC</v>
      </c>
      <c r="D52" s="3" t="s">
        <v>175</v>
      </c>
      <c r="F52" s="3">
        <v>535365152</v>
      </c>
      <c r="G52" s="3" t="s">
        <v>109</v>
      </c>
      <c r="H52" s="3" t="s">
        <v>110</v>
      </c>
      <c r="I52" s="4">
        <v>1260</v>
      </c>
      <c r="J52" s="3">
        <v>403</v>
      </c>
      <c r="K52">
        <f t="shared" si="0"/>
        <v>3269.43</v>
      </c>
    </row>
    <row r="53" spans="2:11" x14ac:dyDescent="0.2">
      <c r="B53" s="3">
        <v>3881</v>
      </c>
      <c r="C53" t="str" cm="1">
        <f t="array" ref="C53">_xlfn._xlws.FILTER($P$2:$P$42,$O$2:$O$42=B53)</f>
        <v>Cey &amp;Cey LLC</v>
      </c>
      <c r="D53" s="3" t="s">
        <v>180</v>
      </c>
      <c r="F53" s="3">
        <v>535768570</v>
      </c>
      <c r="G53" s="3" t="s">
        <v>111</v>
      </c>
      <c r="H53" s="3" t="s">
        <v>112</v>
      </c>
      <c r="I53" s="4">
        <v>2800</v>
      </c>
      <c r="J53" s="3">
        <v>1130</v>
      </c>
      <c r="K53">
        <f t="shared" si="0"/>
        <v>991.48</v>
      </c>
    </row>
    <row r="54" spans="2:11" x14ac:dyDescent="0.2">
      <c r="B54" s="3">
        <v>2316</v>
      </c>
      <c r="C54" t="str" cm="1">
        <f t="array" ref="C54">_xlfn._xlws.FILTER($P$2:$P$42,$O$2:$O$42=B54)</f>
        <v>Skyhill LLC</v>
      </c>
      <c r="D54" s="3" t="s">
        <v>166</v>
      </c>
      <c r="F54" s="3" t="s">
        <v>113</v>
      </c>
      <c r="G54" s="3" t="s">
        <v>114</v>
      </c>
      <c r="H54" s="3" t="s">
        <v>115</v>
      </c>
      <c r="I54" s="4">
        <v>2500</v>
      </c>
      <c r="J54" s="3">
        <v>881</v>
      </c>
      <c r="K54">
        <f t="shared" si="0"/>
        <v>2705.16</v>
      </c>
    </row>
    <row r="55" spans="2:11" x14ac:dyDescent="0.2">
      <c r="B55" s="3">
        <v>6339</v>
      </c>
      <c r="C55" t="str" cm="1">
        <f t="array" ref="C55">_xlfn._xlws.FILTER($P$2:$P$42,$O$2:$O$42=B55)</f>
        <v>Boss Trucking Equipment LLC</v>
      </c>
      <c r="D55" s="3" t="s">
        <v>172</v>
      </c>
      <c r="F55" s="3" t="s">
        <v>116</v>
      </c>
      <c r="G55" s="3" t="s">
        <v>36</v>
      </c>
      <c r="H55" s="3" t="s">
        <v>67</v>
      </c>
      <c r="I55" s="4">
        <v>3200</v>
      </c>
      <c r="J55" s="3">
        <v>1519</v>
      </c>
      <c r="K55">
        <f t="shared" si="0"/>
        <v>2400.9899999999998</v>
      </c>
    </row>
    <row r="56" spans="2:11" x14ac:dyDescent="0.2">
      <c r="B56" s="3">
        <v>6643</v>
      </c>
      <c r="C56" t="str" cm="1">
        <f t="array" ref="C56">_xlfn._xlws.FILTER($P$2:$P$42,$O$2:$O$42=B56)</f>
        <v>FERHAT BAL</v>
      </c>
      <c r="D56" s="3" t="s">
        <v>167</v>
      </c>
      <c r="F56" s="3">
        <v>2173184</v>
      </c>
      <c r="G56" s="3" t="s">
        <v>33</v>
      </c>
      <c r="H56" s="3" t="s">
        <v>117</v>
      </c>
      <c r="I56" s="4">
        <v>3100</v>
      </c>
      <c r="J56" s="3">
        <v>951</v>
      </c>
      <c r="K56">
        <f t="shared" si="0"/>
        <v>1595.61</v>
      </c>
    </row>
    <row r="57" spans="2:11" x14ac:dyDescent="0.2">
      <c r="B57" s="3">
        <v>3403</v>
      </c>
      <c r="C57" t="str" cm="1">
        <f t="array" ref="C57">_xlfn._xlws.FILTER($P$2:$P$42,$O$2:$O$42=B57)</f>
        <v>US Ela Logistic LLC</v>
      </c>
      <c r="D57" s="3" t="s">
        <v>179</v>
      </c>
      <c r="F57" s="3">
        <v>2184372</v>
      </c>
      <c r="G57" s="3" t="s">
        <v>118</v>
      </c>
      <c r="H57" s="3" t="s">
        <v>119</v>
      </c>
      <c r="I57" s="4">
        <v>2350</v>
      </c>
      <c r="J57" s="3">
        <v>1184</v>
      </c>
      <c r="K57">
        <f t="shared" si="0"/>
        <v>1514.77</v>
      </c>
    </row>
    <row r="58" spans="2:11" x14ac:dyDescent="0.2">
      <c r="B58" s="3">
        <v>3301</v>
      </c>
      <c r="C58" t="str" cm="1">
        <f t="array" ref="C58">_xlfn._xlws.FILTER($P$2:$P$42,$O$2:$O$42=B58)</f>
        <v>Beycan LLC</v>
      </c>
      <c r="D58" s="3" t="s">
        <v>169</v>
      </c>
      <c r="F58" s="3">
        <v>20786855</v>
      </c>
      <c r="G58" s="3" t="s">
        <v>120</v>
      </c>
      <c r="H58" s="3" t="s">
        <v>121</v>
      </c>
      <c r="I58" s="4">
        <v>4000</v>
      </c>
      <c r="J58" s="3">
        <v>2010</v>
      </c>
      <c r="K58">
        <f t="shared" si="0"/>
        <v>3267.16</v>
      </c>
    </row>
    <row r="59" spans="2:11" x14ac:dyDescent="0.2">
      <c r="B59" s="3">
        <v>6643</v>
      </c>
      <c r="C59" t="str" cm="1">
        <f t="array" ref="C59">_xlfn._xlws.FILTER($P$2:$P$42,$O$2:$O$42=B59)</f>
        <v>FERHAT BAL</v>
      </c>
      <c r="D59" s="3" t="s">
        <v>167</v>
      </c>
      <c r="F59" s="3">
        <v>239576</v>
      </c>
      <c r="G59" s="3" t="s">
        <v>122</v>
      </c>
      <c r="H59" s="3" t="s">
        <v>123</v>
      </c>
      <c r="I59" s="4">
        <v>1200</v>
      </c>
      <c r="J59" s="3">
        <v>564</v>
      </c>
      <c r="K59">
        <f t="shared" si="0"/>
        <v>1595.61</v>
      </c>
    </row>
    <row r="60" spans="2:11" x14ac:dyDescent="0.2">
      <c r="B60" s="3">
        <v>7265</v>
      </c>
      <c r="C60" t="str" cm="1">
        <f t="array" ref="C60">_xlfn._xlws.FILTER($P$2:$P$42,$O$2:$O$42=B60)</f>
        <v>Ada Fleet LLC</v>
      </c>
      <c r="D60" s="3" t="s">
        <v>178</v>
      </c>
      <c r="F60" s="3">
        <v>20756360</v>
      </c>
      <c r="G60" s="3" t="s">
        <v>124</v>
      </c>
      <c r="H60" s="3" t="s">
        <v>125</v>
      </c>
      <c r="I60" s="4">
        <v>5000</v>
      </c>
      <c r="J60" s="3">
        <v>2488</v>
      </c>
      <c r="K60">
        <f t="shared" si="0"/>
        <v>2305.29</v>
      </c>
    </row>
    <row r="61" spans="2:11" x14ac:dyDescent="0.2">
      <c r="B61" s="3">
        <v>7807</v>
      </c>
      <c r="C61" t="str" cm="1">
        <f t="array" ref="C61">_xlfn._xlws.FILTER($P$2:$P$42,$O$2:$O$42=B61)</f>
        <v>Komo Logistics LLC</v>
      </c>
      <c r="D61" s="3" t="s">
        <v>173</v>
      </c>
      <c r="F61" s="3">
        <v>148299</v>
      </c>
      <c r="G61" s="3" t="s">
        <v>126</v>
      </c>
      <c r="H61" s="3" t="s">
        <v>127</v>
      </c>
      <c r="I61" s="4">
        <v>3050</v>
      </c>
      <c r="J61" s="3">
        <v>1228</v>
      </c>
      <c r="K61">
        <f t="shared" si="0"/>
        <v>2234.34</v>
      </c>
    </row>
    <row r="62" spans="2:11" x14ac:dyDescent="0.2">
      <c r="B62" s="3">
        <v>7048</v>
      </c>
      <c r="C62" t="str" cm="1">
        <f t="array" ref="C62">_xlfn._xlws.FILTER($P$2:$P$42,$O$2:$O$42=B62)</f>
        <v>Arba Express LLC</v>
      </c>
      <c r="D62" s="3" t="s">
        <v>175</v>
      </c>
      <c r="F62" s="3">
        <v>2903014</v>
      </c>
      <c r="G62" s="3" t="s">
        <v>128</v>
      </c>
      <c r="H62" s="3" t="s">
        <v>129</v>
      </c>
      <c r="I62" s="4">
        <v>4200</v>
      </c>
      <c r="J62" s="3">
        <v>2453</v>
      </c>
      <c r="K62">
        <f t="shared" si="0"/>
        <v>3269.43</v>
      </c>
    </row>
    <row r="63" spans="2:11" x14ac:dyDescent="0.2">
      <c r="B63" s="3">
        <v>7352</v>
      </c>
      <c r="C63" t="str" cm="1">
        <f t="array" ref="C63">_xlfn._xlws.FILTER($P$2:$P$42,$O$2:$O$42=B63)</f>
        <v>Careway Logistics LLC</v>
      </c>
      <c r="D63" s="3" t="s">
        <v>170</v>
      </c>
      <c r="F63" s="3">
        <v>8014776</v>
      </c>
      <c r="G63" s="3" t="s">
        <v>130</v>
      </c>
      <c r="H63" s="3" t="s">
        <v>131</v>
      </c>
      <c r="I63" s="4">
        <v>3800</v>
      </c>
      <c r="J63" s="3">
        <v>1827</v>
      </c>
      <c r="K63">
        <f t="shared" si="0"/>
        <v>2751.8</v>
      </c>
    </row>
    <row r="64" spans="2:11" x14ac:dyDescent="0.2">
      <c r="B64" s="3">
        <v>515</v>
      </c>
      <c r="C64" t="str" cm="1">
        <f t="array" ref="C64">_xlfn._xlws.FILTER($P$2:$P$42,$O$2:$O$42=B64)</f>
        <v>Apex Turk Transport LLC</v>
      </c>
      <c r="D64" s="3" t="s">
        <v>181</v>
      </c>
      <c r="F64" s="3">
        <v>1190112</v>
      </c>
      <c r="G64" s="3" t="s">
        <v>132</v>
      </c>
      <c r="H64" s="3" t="s">
        <v>133</v>
      </c>
      <c r="I64" s="4">
        <v>3400</v>
      </c>
      <c r="J64" s="3">
        <v>1171</v>
      </c>
      <c r="K64">
        <f t="shared" si="0"/>
        <v>920.24</v>
      </c>
    </row>
    <row r="65" spans="2:11" x14ac:dyDescent="0.2">
      <c r="B65" s="3">
        <v>2316</v>
      </c>
      <c r="C65" t="str" cm="1">
        <f t="array" ref="C65">_xlfn._xlws.FILTER($P$2:$P$42,$O$2:$O$42=B65)</f>
        <v>Skyhill LLC</v>
      </c>
      <c r="D65" s="3" t="s">
        <v>166</v>
      </c>
      <c r="F65" s="3" t="s">
        <v>134</v>
      </c>
      <c r="G65" s="3" t="s">
        <v>115</v>
      </c>
      <c r="H65" s="3" t="s">
        <v>135</v>
      </c>
      <c r="I65" s="4">
        <v>2000</v>
      </c>
      <c r="J65" s="3">
        <v>1097</v>
      </c>
      <c r="K65">
        <f t="shared" si="0"/>
        <v>2705.16</v>
      </c>
    </row>
    <row r="66" spans="2:11" x14ac:dyDescent="0.2">
      <c r="B66" s="3">
        <v>2890</v>
      </c>
      <c r="C66" t="str" cm="1">
        <f t="array" ref="C66">_xlfn._xlws.FILTER($P$2:$P$42,$O$2:$O$42=B66)</f>
        <v>Skyhill LLC</v>
      </c>
      <c r="D66" s="3" t="s">
        <v>176</v>
      </c>
      <c r="F66" s="3">
        <v>537072354</v>
      </c>
      <c r="G66" s="3" t="s">
        <v>136</v>
      </c>
      <c r="H66" s="3" t="s">
        <v>137</v>
      </c>
      <c r="I66" s="4">
        <v>4440</v>
      </c>
      <c r="J66" s="3">
        <v>2276</v>
      </c>
      <c r="K66">
        <f t="shared" si="0"/>
        <v>2271.37</v>
      </c>
    </row>
    <row r="67" spans="2:11" x14ac:dyDescent="0.2">
      <c r="B67" s="3">
        <v>9348</v>
      </c>
      <c r="C67" t="str" cm="1">
        <f t="array" ref="C67">_xlfn._xlws.FILTER($P$2:$P$42,$O$2:$O$42=B67)</f>
        <v>Ada Fleet LLC</v>
      </c>
      <c r="D67" s="3" t="s">
        <v>164</v>
      </c>
      <c r="F67" s="3">
        <v>5810344</v>
      </c>
      <c r="G67" s="3" t="s">
        <v>138</v>
      </c>
      <c r="H67" s="3" t="s">
        <v>139</v>
      </c>
      <c r="I67" s="4">
        <v>3300</v>
      </c>
      <c r="J67" s="3">
        <v>1771</v>
      </c>
      <c r="K67">
        <f t="shared" ref="K67:K75" si="1">SUMIF($M$2:$M$30,B67,$N$2:$N$30)</f>
        <v>2541.5100000000002</v>
      </c>
    </row>
    <row r="68" spans="2:11" x14ac:dyDescent="0.2">
      <c r="B68" s="3">
        <v>659</v>
      </c>
      <c r="C68" t="str" cm="1">
        <f t="array" ref="C68">_xlfn._xlws.FILTER($P$2:$P$42,$O$2:$O$42=B68)</f>
        <v>EDT Logistics LLC</v>
      </c>
      <c r="D68" s="3" t="s">
        <v>182</v>
      </c>
      <c r="F68" s="3">
        <v>270528</v>
      </c>
      <c r="G68" s="3" t="s">
        <v>140</v>
      </c>
      <c r="H68" s="3" t="s">
        <v>141</v>
      </c>
      <c r="I68" s="4">
        <v>5350</v>
      </c>
      <c r="J68" s="3">
        <v>2849</v>
      </c>
      <c r="K68">
        <f t="shared" si="1"/>
        <v>2197.83</v>
      </c>
    </row>
    <row r="69" spans="2:11" x14ac:dyDescent="0.2">
      <c r="B69" s="5"/>
      <c r="C69" t="e" cm="1" vm="1">
        <f t="array" ref="C69">_xlfn._xlws.FILTER($P$2:$P$42,$O$2:$O$42=B69)</f>
        <v>#VALUE!</v>
      </c>
      <c r="D69" s="5"/>
      <c r="F69" s="3">
        <v>93618</v>
      </c>
      <c r="G69" s="3" t="s">
        <v>142</v>
      </c>
      <c r="H69" s="3" t="s">
        <v>143</v>
      </c>
      <c r="I69" s="4">
        <v>0</v>
      </c>
      <c r="J69" s="3">
        <v>0</v>
      </c>
      <c r="K69">
        <f t="shared" si="1"/>
        <v>0</v>
      </c>
    </row>
    <row r="70" spans="2:11" x14ac:dyDescent="0.2">
      <c r="B70" s="3">
        <v>3881</v>
      </c>
      <c r="C70" t="str" cm="1">
        <f t="array" ref="C70">_xlfn._xlws.FILTER($P$2:$P$42,$O$2:$O$42=B70)</f>
        <v>Cey &amp;Cey LLC</v>
      </c>
      <c r="D70" s="3" t="s">
        <v>180</v>
      </c>
      <c r="F70" s="3">
        <v>8036247</v>
      </c>
      <c r="G70" s="3" t="s">
        <v>144</v>
      </c>
      <c r="H70" s="3" t="s">
        <v>145</v>
      </c>
      <c r="I70" s="4">
        <v>0</v>
      </c>
      <c r="J70" s="3">
        <v>0</v>
      </c>
      <c r="K70">
        <f t="shared" si="1"/>
        <v>991.48</v>
      </c>
    </row>
    <row r="71" spans="2:11" x14ac:dyDescent="0.2">
      <c r="B71" s="3">
        <v>515</v>
      </c>
      <c r="C71" t="str" cm="1">
        <f t="array" ref="C71">_xlfn._xlws.FILTER($P$2:$P$42,$O$2:$O$42=B71)</f>
        <v>Apex Turk Transport LLC</v>
      </c>
      <c r="D71" s="3" t="s">
        <v>181</v>
      </c>
      <c r="F71" s="3">
        <v>126221601</v>
      </c>
      <c r="G71" s="3" t="s">
        <v>146</v>
      </c>
      <c r="H71" s="3" t="s">
        <v>147</v>
      </c>
      <c r="I71" s="4">
        <v>450</v>
      </c>
      <c r="J71" s="3">
        <v>247</v>
      </c>
      <c r="K71">
        <f t="shared" si="1"/>
        <v>920.24</v>
      </c>
    </row>
    <row r="72" spans="2:11" x14ac:dyDescent="0.2">
      <c r="B72" s="3">
        <v>427</v>
      </c>
      <c r="C72" t="str" cm="1">
        <f t="array" ref="C72">_xlfn._xlws.FILTER($P$2:$P$42,$O$2:$O$42=B72)</f>
        <v>Ada Fleet LLC</v>
      </c>
      <c r="D72" s="3" t="s">
        <v>157</v>
      </c>
      <c r="F72" s="3">
        <v>8032897</v>
      </c>
      <c r="G72" s="3" t="s">
        <v>148</v>
      </c>
      <c r="H72" s="3" t="s">
        <v>149</v>
      </c>
      <c r="I72" s="4">
        <v>3900</v>
      </c>
      <c r="J72" s="3">
        <v>1571</v>
      </c>
      <c r="K72">
        <f t="shared" si="1"/>
        <v>1698.09</v>
      </c>
    </row>
    <row r="73" spans="2:11" x14ac:dyDescent="0.2">
      <c r="B73" s="3">
        <v>997</v>
      </c>
      <c r="C73" t="str" cm="1">
        <f t="array" ref="C73">_xlfn._xlws.FILTER($P$2:$P$42,$O$2:$O$42=B73)</f>
        <v>Careway Logistic LLC</v>
      </c>
      <c r="D73" s="3" t="s">
        <v>183</v>
      </c>
      <c r="F73" s="3">
        <v>9205335</v>
      </c>
      <c r="G73" s="3" t="s">
        <v>150</v>
      </c>
      <c r="H73" s="3" t="s">
        <v>151</v>
      </c>
      <c r="I73" s="4">
        <v>4400</v>
      </c>
      <c r="J73" s="3">
        <v>1707</v>
      </c>
      <c r="K73">
        <f t="shared" si="1"/>
        <v>0</v>
      </c>
    </row>
    <row r="74" spans="2:11" x14ac:dyDescent="0.2">
      <c r="B74" s="3">
        <v>6960</v>
      </c>
      <c r="C74" t="str" cm="1">
        <f t="array" ref="C74">_xlfn._xlws.FILTER($P$2:$P$42,$O$2:$O$42=B74)</f>
        <v>Arba Express LLC</v>
      </c>
      <c r="D74" s="3" t="s">
        <v>174</v>
      </c>
      <c r="F74" s="3">
        <v>2420747</v>
      </c>
      <c r="G74" s="3" t="s">
        <v>152</v>
      </c>
      <c r="H74" s="3" t="s">
        <v>153</v>
      </c>
      <c r="I74" s="4">
        <v>2100</v>
      </c>
      <c r="J74" s="3">
        <v>660</v>
      </c>
      <c r="K74">
        <f t="shared" si="1"/>
        <v>2063.1999999999998</v>
      </c>
    </row>
    <row r="75" spans="2:11" x14ac:dyDescent="0.2">
      <c r="B75" s="3">
        <v>2675</v>
      </c>
      <c r="C75" t="str" cm="1">
        <f t="array" ref="C75">_xlfn._xlws.FILTER($P$2:$P$42,$O$2:$O$42=B75)</f>
        <v>Besa Transport LLC</v>
      </c>
      <c r="D75" s="3" t="s">
        <v>184</v>
      </c>
      <c r="F75" s="3">
        <v>2916519</v>
      </c>
      <c r="G75" s="3" t="s">
        <v>154</v>
      </c>
      <c r="H75" s="3" t="s">
        <v>155</v>
      </c>
      <c r="I75" s="4">
        <v>1500</v>
      </c>
      <c r="J75" s="3">
        <v>1119</v>
      </c>
      <c r="K75">
        <f t="shared" si="1"/>
        <v>607.22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sumerplus@outlook.com</dc:creator>
  <cp:lastModifiedBy>sumerplus@outlook.com</cp:lastModifiedBy>
  <dcterms:created xsi:type="dcterms:W3CDTF">2025-12-11T20:04:19Z</dcterms:created>
  <dcterms:modified xsi:type="dcterms:W3CDTF">2025-12-11T20:58:37Z</dcterms:modified>
</cp:coreProperties>
</file>